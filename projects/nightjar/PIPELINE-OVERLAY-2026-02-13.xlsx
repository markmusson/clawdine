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_Analysis" sheetId="1" state="visible" r:id="rId3"/>
    <sheet name="PL_Pipeline_Overlay" sheetId="2" state="visible" r:id="rId4"/>
    <sheet name="Annual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<sst xmlns="http://schemas.openxmlformats.org/spreadsheetml/2006/main" count="338" uniqueCount="217">
  <si>
    <t xml:space="preserve">NIGHTJAR LLC - PIPELINE ANALYSIS &amp; OVERLAY</t>
  </si>
  <si>
    <t xml:space="preserve">Source: Opportunities CRM export + Carol/Stadler Family Office transcript (Feb 12, 2026)</t>
  </si>
  <si>
    <t xml:space="preserve">Opportunity</t>
  </si>
  <si>
    <t xml:space="preserve">Bucket</t>
  </si>
  <si>
    <t xml:space="preserve">Est. Cameras</t>
  </si>
  <si>
    <t xml:space="preserve">Probability %</t>
  </si>
  <si>
    <t xml:space="preserve">Weighted Units</t>
  </si>
  <si>
    <t xml:space="preserve">Close Quarter</t>
  </si>
  <si>
    <t xml:space="preserve">Notes</t>
  </si>
  <si>
    <t xml:space="preserve">Rio Tinto Guinea (Simandou)</t>
  </si>
  <si>
    <t xml:space="preserve">Mining/ESG</t>
  </si>
  <si>
    <t xml:space="preserve">Q2 2026</t>
  </si>
  <si>
    <t xml:space="preserve">Multi-year $850K order confirmed; ~400 Y1, ~250 Y2</t>
  </si>
  <si>
    <t xml:space="preserve">Rio Tinto Guinea Phase 2</t>
  </si>
  <si>
    <t xml:space="preserve">Q1 2027</t>
  </si>
  <si>
    <t xml:space="preserve">Phase 2 deployment per transcript</t>
  </si>
  <si>
    <t xml:space="preserve">Vale</t>
  </si>
  <si>
    <t xml:space="preserve">Q4 2026</t>
  </si>
  <si>
    <t xml:space="preserve">Global mining co, order form sent</t>
  </si>
  <si>
    <t xml:space="preserve">Resolution Copper</t>
  </si>
  <si>
    <t xml:space="preserve">Q2 2027</t>
  </si>
  <si>
    <t xml:space="preserve">USA mining, security + biodiversity</t>
  </si>
  <si>
    <t xml:space="preserve">Veragold Mining Company</t>
  </si>
  <si>
    <t xml:space="preserve">Q3 2027</t>
  </si>
  <si>
    <t xml:space="preserve">Global mining, order form sent</t>
  </si>
  <si>
    <t xml:space="preserve">Adjacent miners (Glencore etc.)</t>
  </si>
  <si>
    <t xml:space="preserve">Q1 2028</t>
  </si>
  <si>
    <t xml:space="preserve">Per transcript: copper miners adjacent to Rio</t>
  </si>
  <si>
    <t xml:space="preserve">Chester Zoo (N. England Zoo Soc)</t>
  </si>
  <si>
    <t xml:space="preserve">NGO/Conservation</t>
  </si>
  <si>
    <t xml:space="preserve">Q1 2026</t>
  </si>
  <si>
    <t xml:space="preserve">6 committed, 25 forecast, replied</t>
  </si>
  <si>
    <t xml:space="preserve">Nepal Tiger Trust</t>
  </si>
  <si>
    <t xml:space="preserve">Committed, pending address</t>
  </si>
  <si>
    <t xml:space="preserve">FFI Sumatra</t>
  </si>
  <si>
    <t xml:space="preserve">Committed, send quote</t>
  </si>
  <si>
    <t xml:space="preserve">AWF Cameroon</t>
  </si>
  <si>
    <t xml:space="preserve">Order form sent</t>
  </si>
  <si>
    <t xml:space="preserve">Global Conservation Cameroon/Gabon</t>
  </si>
  <si>
    <t xml:space="preserve">Cheetah Conservation Namibia</t>
  </si>
  <si>
    <t xml:space="preserve">Q3 2026</t>
  </si>
  <si>
    <t xml:space="preserve">Early stage</t>
  </si>
  <si>
    <t xml:space="preserve">Save the Elephants</t>
  </si>
  <si>
    <t xml:space="preserve">No contact yet</t>
  </si>
  <si>
    <t xml:space="preserve">Oncafari Brazil</t>
  </si>
  <si>
    <t xml:space="preserve">To re-engage</t>
  </si>
  <si>
    <t xml:space="preserve">Save Vietnam Wildlife</t>
  </si>
  <si>
    <t xml:space="preserve">Peace Park Foundation</t>
  </si>
  <si>
    <t xml:space="preserve">No contact info</t>
  </si>
  <si>
    <t xml:space="preserve">Bangladesh AWF</t>
  </si>
  <si>
    <t xml:space="preserve">HWC</t>
  </si>
  <si>
    <t xml:space="preserve">Customer, invoice sent, 15 units</t>
  </si>
  <si>
    <t xml:space="preserve">FlyShepherd USA</t>
  </si>
  <si>
    <t xml:space="preserve">Committed, order form received</t>
  </si>
  <si>
    <t xml:space="preserve">Friends of Children's Village Thailand</t>
  </si>
  <si>
    <t xml:space="preserve">On hold, wait for future</t>
  </si>
  <si>
    <t xml:space="preserve">Andalas University Indonesia</t>
  </si>
  <si>
    <t xml:space="preserve">Interest, replied</t>
  </si>
  <si>
    <t xml:space="preserve">German Wolf Project</t>
  </si>
  <si>
    <t xml:space="preserve">Customer, send additional units + firmware</t>
  </si>
  <si>
    <t xml:space="preserve">European Wolf Projects (expansion)</t>
  </si>
  <si>
    <t xml:space="preserve">Per transcript: substantial demand for wolves in Europe</t>
  </si>
  <si>
    <t xml:space="preserve">Imvelo Hwange Zimbabwe</t>
  </si>
  <si>
    <t xml:space="preserve">Jasper National Park Canada</t>
  </si>
  <si>
    <t xml:space="preserve">Need satellite - wait for TG5</t>
  </si>
  <si>
    <t xml:space="preserve">Matusadona Nat Park Zimbabwe</t>
  </si>
  <si>
    <t xml:space="preserve">Meeting around March</t>
  </si>
  <si>
    <t xml:space="preserve">Living Foundation Trust Zimbabwe</t>
  </si>
  <si>
    <t xml:space="preserve">HEC, replied</t>
  </si>
  <si>
    <t xml:space="preserve">EPA Guyana</t>
  </si>
  <si>
    <t xml:space="preserve">Government</t>
  </si>
  <si>
    <t xml:space="preserve">Interest, order form sent</t>
  </si>
  <si>
    <t xml:space="preserve">Dept of Forests Bhutan</t>
  </si>
  <si>
    <t xml:space="preserve">Interest, asking about hosting</t>
  </si>
  <si>
    <t xml:space="preserve">Maine Bureau of Parks</t>
  </si>
  <si>
    <t xml:space="preserve">Replied</t>
  </si>
  <si>
    <t xml:space="preserve">Pinelands National Reserve NJ</t>
  </si>
  <si>
    <t xml:space="preserve">NZ Dept of Conservation</t>
  </si>
  <si>
    <t xml:space="preserve">To re-engage, replied</t>
  </si>
  <si>
    <t xml:space="preserve">Protection de la faune Canada</t>
  </si>
  <si>
    <t xml:space="preserve">Darwin - Re:wild Anguilla</t>
  </si>
  <si>
    <t xml:space="preserve">Biosecurity</t>
  </si>
  <si>
    <t xml:space="preserve">Biosecurity use case</t>
  </si>
  <si>
    <t xml:space="preserve">RSPB Cayman Island</t>
  </si>
  <si>
    <t xml:space="preserve">Customer, invoice sent</t>
  </si>
  <si>
    <t xml:space="preserve">Island Conservation Ecuador</t>
  </si>
  <si>
    <t xml:space="preserve">Interested in learning more</t>
  </si>
  <si>
    <t xml:space="preserve">Google (Dan Morris)</t>
  </si>
  <si>
    <t xml:space="preserve">Research</t>
  </si>
  <si>
    <t xml:space="preserve">Committed, send invoice</t>
  </si>
  <si>
    <t xml:space="preserve">Clearspot.ai</t>
  </si>
  <si>
    <t xml:space="preserve">Interest, 50 unit forecast</t>
  </si>
  <si>
    <t xml:space="preserve">Univ of Hong Kong</t>
  </si>
  <si>
    <t xml:space="preserve">Customer, check status</t>
  </si>
  <si>
    <t xml:space="preserve">Lingnan University HK</t>
  </si>
  <si>
    <t xml:space="preserve">Customer, send replacement</t>
  </si>
  <si>
    <t xml:space="preserve">Menzies Institute Tasmania</t>
  </si>
  <si>
    <t xml:space="preserve">STRI Barro Colorado Panama</t>
  </si>
  <si>
    <t xml:space="preserve">Rwanda University</t>
  </si>
  <si>
    <t xml:space="preserve">Southern Africa Wildlife College</t>
  </si>
  <si>
    <t xml:space="preserve">Distributor</t>
  </si>
  <si>
    <t xml:space="preserve">Customer, invoice sent, distributor</t>
  </si>
  <si>
    <t xml:space="preserve">Earth Recovery Partner</t>
  </si>
  <si>
    <t xml:space="preserve">Committed, invoice sent</t>
  </si>
  <si>
    <t xml:space="preserve">Khamai Foundation</t>
  </si>
  <si>
    <t xml:space="preserve">Harvest Technology Group Australia</t>
  </si>
  <si>
    <t xml:space="preserve">SSASS South Africa</t>
  </si>
  <si>
    <t xml:space="preserve">Baptiste Batallie Belgium</t>
  </si>
  <si>
    <t xml:space="preserve">Distributor, to re-engage</t>
  </si>
  <si>
    <t xml:space="preserve">TOTAL PIPELINE</t>
  </si>
  <si>
    <t xml:space="preserve">SUMMARY BY BUCKET</t>
  </si>
  <si>
    <t xml:space="preserve">Total Opps</t>
  </si>
  <si>
    <t xml:space="preserve">Total Cameras</t>
  </si>
  <si>
    <t xml:space="preserve">Avg Probability</t>
  </si>
  <si>
    <t xml:space="preserve">TOTAL</t>
  </si>
  <si>
    <t xml:space="preserve">NIGHTJAR LLC - 36-MONTH P&amp;L WITH PIPELINE OVERLAY</t>
  </si>
  <si>
    <t xml:space="preserve">Base P&amp;L (Budget) + Weighted Pipeline Upside | Backloaded by Close Quarter</t>
  </si>
  <si>
    <t xml:space="preserve">($)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</si>
  <si>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</si>
  <si>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</si>
  <si>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</si>
  <si>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</si>
  <si>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</si>
  <si>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</si>
  <si>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</si>
  <si>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</si>
  <si>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</si>
  <si>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</si>
  <si>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</si>
  <si>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</si>
  <si>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</si>
  <si>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</si>
  <si>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</si>
  <si>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2027-04</t>
  </si>
  <si>
    <t xml:space="preserve">2027-05</t>
  </si>
  <si>
    <t xml:space="preserve">2027-06</t>
  </si>
  <si>
    <t xml:space="preserve">2027-07</t>
  </si>
  <si>
    <t xml:space="preserve">2027-08</t>
  </si>
  <si>
    <t xml:space="preserve">2027-09</t>
  </si>
  <si>
    <t xml:space="preserve">2027-10</t>
  </si>
  <si>
    <t xml:space="preserve">2027-11</t>
  </si>
  <si>
    <t xml:space="preserve">2027-12</t>
  </si>
  <si>
    <t xml:space="preserve">2028-01</t>
  </si>
  <si>
    <t xml:space="preserve">2028-02</t>
  </si>
  <si>
    <t xml:space="preserve">2028-03</t>
  </si>
  <si>
    <t xml:space="preserve">2028-04</t>
  </si>
  <si>
    <t xml:space="preserve">2028-05</t>
  </si>
  <si>
    <t xml:space="preserve">2028-06</t>
  </si>
  <si>
    <t xml:space="preserve">2028-07</t>
  </si>
  <si>
    <t xml:space="preserve">2028-08</t>
  </si>
  <si>
    <t xml:space="preserve">2028-09</t>
  </si>
  <si>
    <t xml:space="preserve">2028-10</t>
  </si>
  <si>
    <t xml:space="preserve">2028-11</t>
  </si>
  <si>
    <t xml:space="preserve">2028-12</t>
  </si>
  <si>
    <t xml:space="preserve">CY2026</t>
  </si>
  <si>
    <t xml:space="preserve">CY2027</t>
  </si>
  <si>
    <t xml:space="preserve">CY2028</t>
  </si>
  <si>
    <t xml:space="preserve">BASE P&amp;L (FROM 36-MONTH MODEL)</t>
  </si>
  <si>
    <t xml:space="preserve">Hardware Revenue</t>
  </si>
  <si>
    <t xml:space="preserve">SaaS Revenue</t>
  </si>
  <si>
    <t xml:space="preserve">Deployment Revenue</t>
  </si>
  <si>
    <t xml:space="preserve">Support Revenue</t>
  </si>
  <si>
    <t xml:space="preserve">Total Base Revenue</t>
  </si>
  <si>
    <t xml:space="preserve">Total Base COGS</t>
  </si>
  <si>
    <t xml:space="preserve">Base Gross Profit</t>
  </si>
  <si>
    <t xml:space="preserve">Base Gross Margin %</t>
  </si>
  <si>
    <t xml:space="preserve">Total Base OpEx</t>
  </si>
  <si>
    <t xml:space="preserve">Base EBIT</t>
  </si>
  <si>
    <t xml:space="preserve">PIPELINE OVERLAY - UNITS BY BUCKET (Weighted, Backloaded)</t>
  </si>
  <si>
    <t xml:space="preserve">  Mining/ESG</t>
  </si>
  <si>
    <t xml:space="preserve">  NGO/Conservation</t>
  </si>
  <si>
    <t xml:space="preserve">  HWC</t>
  </si>
  <si>
    <t xml:space="preserve">  Government</t>
  </si>
  <si>
    <t xml:space="preserve">  Biosecurity</t>
  </si>
  <si>
    <t xml:space="preserve">  Research</t>
  </si>
  <si>
    <t xml:space="preserve">  Distributor</t>
  </si>
  <si>
    <t xml:space="preserve">Total Pipeline Units (New)</t>
  </si>
  <si>
    <t xml:space="preserve">Pipeline Cumulative Installed</t>
  </si>
  <si>
    <t xml:space="preserve">PIPELINE OVERLAY - INCREMENTAL REVENUE</t>
  </si>
  <si>
    <t xml:space="preserve">Pipeline HW Revenue</t>
  </si>
  <si>
    <t xml:space="preserve">Pipeline SaaS Revenue</t>
  </si>
  <si>
    <t xml:space="preserve">Pipeline Deploy Revenue</t>
  </si>
  <si>
    <t xml:space="preserve">Pipeline Support Revenue</t>
  </si>
  <si>
    <t xml:space="preserve">Total Pipeline Revenue</t>
  </si>
  <si>
    <t xml:space="preserve">Pipeline COGS</t>
  </si>
  <si>
    <t xml:space="preserve">Pipeline Gross Profit</t>
  </si>
  <si>
    <t xml:space="preserve">COMBINED P&amp;L (BASE + PIPELINE OVERLAY)</t>
  </si>
  <si>
    <t xml:space="preserve">Combined Total Revenue</t>
  </si>
  <si>
    <t xml:space="preserve">Combined Total COGS</t>
  </si>
  <si>
    <t xml:space="preserve">Combined Gross Profit</t>
  </si>
  <si>
    <t xml:space="preserve">Combined Gross Margin %</t>
  </si>
  <si>
    <t xml:space="preserve">Total OpEx (unchanged)</t>
  </si>
  <si>
    <t xml:space="preserve">Combined EBIT</t>
  </si>
  <si>
    <t xml:space="preserve">Combined EBIT Margin %</t>
  </si>
  <si>
    <t xml:space="preserve">PIPELINE IMPACT (Combined - Base)</t>
  </si>
  <si>
    <t xml:space="preserve">Revenue Uplift</t>
  </si>
  <si>
    <t xml:space="preserve">EBIT Uplift</t>
  </si>
  <si>
    <t xml:space="preserve">Revenue Uplift %</t>
  </si>
  <si>
    <t xml:space="preserve">NIGHTJAR LLC - ANNUAL P&amp;L SUMMARY WITH PIPELINE OVERLAY</t>
  </si>
  <si>
    <t xml:space="preserve">3-Year Total</t>
  </si>
  <si>
    <t xml:space="preserve">BASE P&amp;L</t>
  </si>
  <si>
    <t xml:space="preserve">Base Revenue</t>
  </si>
  <si>
    <t xml:space="preserve">Base COGS</t>
  </si>
  <si>
    <t xml:space="preserve">Base OpEx</t>
  </si>
  <si>
    <t xml:space="preserve">Base Units Sold</t>
  </si>
  <si>
    <t xml:space="preserve">PIPELINE OVERLAY</t>
  </si>
  <si>
    <t xml:space="preserve">Pipeline Units (Weighted)</t>
  </si>
  <si>
    <t xml:space="preserve">Pipeline Revenue</t>
  </si>
  <si>
    <t xml:space="preserve">COMBINED (BASE + PIPELINE)</t>
  </si>
  <si>
    <t xml:space="preserve">Combined Units Sold</t>
  </si>
  <si>
    <t xml:space="preserve">Combined Revenue</t>
  </si>
  <si>
    <t xml:space="preserve">Combined COGS</t>
  </si>
  <si>
    <t xml:space="preserve">Combined OpEx</t>
  </si>
  <si>
    <t xml:space="preserve">KEY METRICS</t>
  </si>
  <si>
    <t xml:space="preserve">Revenue Uplift from Pipeline</t>
  </si>
  <si>
    <t xml:space="preserve">PIPELINE UNITS BY BUCKET</t>
  </si>
  <si>
    <t xml:space="preserve">Total Pipeline Units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</si>
</sst>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\$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F549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400</v>
      </c>
      <c r="D5" s="6" t="n">
        <v>0.95</v>
      </c>
      <c r="E5" s="7" t="n">
        <f aca="false">C5*D5</f>
        <v>380</v>
      </c>
      <c r="F5" s="4" t="s">
        <v>11</v>
      </c>
      <c r="G5" s="8" t="s">
        <v>12</v>
      </c>
    </row>
    <row r="6" customFormat="false" ht="15" hidden="false" customHeight="false" outlineLevel="0" collapsed="false">
      <c r="A6" s="4" t="s">
        <v>13</v>
      </c>
      <c r="B6" s="4" t="s">
        <v>10</v>
      </c>
      <c r="C6" s="5" t="n">
        <v>250</v>
      </c>
      <c r="D6" s="6" t="n">
        <v>0.8</v>
      </c>
      <c r="E6" s="7" t="n">
        <f aca="false">C6*D6</f>
        <v>200</v>
      </c>
      <c r="F6" s="4" t="s">
        <v>14</v>
      </c>
      <c r="G6" s="8" t="s">
        <v>15</v>
      </c>
    </row>
    <row r="7" customFormat="false" ht="15" hidden="false" customHeight="false" outlineLevel="0" collapsed="false">
      <c r="A7" s="4" t="s">
        <v>16</v>
      </c>
      <c r="B7" s="4" t="s">
        <v>10</v>
      </c>
      <c r="C7" s="5" t="n">
        <v>100</v>
      </c>
      <c r="D7" s="6" t="n">
        <v>0.3</v>
      </c>
      <c r="E7" s="7" t="n">
        <f aca="false">C7*D7</f>
        <v>30</v>
      </c>
      <c r="F7" s="4" t="s">
        <v>17</v>
      </c>
      <c r="G7" s="8" t="s">
        <v>18</v>
      </c>
    </row>
    <row r="8" customFormat="false" ht="15" hidden="false" customHeight="false" outlineLevel="0" collapsed="false">
      <c r="A8" s="4" t="s">
        <v>19</v>
      </c>
      <c r="B8" s="4" t="s">
        <v>10</v>
      </c>
      <c r="C8" s="5" t="n">
        <v>75</v>
      </c>
      <c r="D8" s="6" t="n">
        <v>0.25</v>
      </c>
      <c r="E8" s="7" t="n">
        <f aca="false">C8*D8</f>
        <v>18.75</v>
      </c>
      <c r="F8" s="4" t="s">
        <v>20</v>
      </c>
      <c r="G8" s="8" t="s">
        <v>21</v>
      </c>
    </row>
    <row r="9" customFormat="false" ht="15" hidden="false" customHeight="false" outlineLevel="0" collapsed="false">
      <c r="A9" s="4" t="s">
        <v>22</v>
      </c>
      <c r="B9" s="4" t="s">
        <v>10</v>
      </c>
      <c r="C9" s="5" t="n">
        <v>50</v>
      </c>
      <c r="D9" s="6" t="n">
        <v>0.25</v>
      </c>
      <c r="E9" s="7" t="n">
        <f aca="false">C9*D9</f>
        <v>12.5</v>
      </c>
      <c r="F9" s="4" t="s">
        <v>23</v>
      </c>
      <c r="G9" s="8" t="s">
        <v>24</v>
      </c>
    </row>
    <row r="10" customFormat="false" ht="15" hidden="false" customHeight="false" outlineLevel="0" collapsed="false">
      <c r="A10" s="4" t="s">
        <v>25</v>
      </c>
      <c r="B10" s="4" t="s">
        <v>10</v>
      </c>
      <c r="C10" s="5" t="n">
        <v>200</v>
      </c>
      <c r="D10" s="6" t="n">
        <v>0.2</v>
      </c>
      <c r="E10" s="7" t="n">
        <f aca="false">C10*D10</f>
        <v>40</v>
      </c>
      <c r="F10" s="4" t="s">
        <v>26</v>
      </c>
      <c r="G10" s="8" t="s">
        <v>27</v>
      </c>
    </row>
    <row r="11" customFormat="false" ht="15" hidden="false" customHeight="false" outlineLevel="0" collapsed="false">
      <c r="A11" s="4" t="s">
        <v>28</v>
      </c>
      <c r="B11" s="4" t="s">
        <v>29</v>
      </c>
      <c r="C11" s="5" t="n">
        <v>25</v>
      </c>
      <c r="D11" s="6" t="n">
        <v>0.7</v>
      </c>
      <c r="E11" s="7" t="n">
        <f aca="false">C11*D11</f>
        <v>17.5</v>
      </c>
      <c r="F11" s="4" t="s">
        <v>30</v>
      </c>
      <c r="G11" s="8" t="s">
        <v>31</v>
      </c>
    </row>
    <row r="12" customFormat="false" ht="15" hidden="false" customHeight="false" outlineLevel="0" collapsed="false">
      <c r="A12" s="4" t="s">
        <v>32</v>
      </c>
      <c r="B12" s="4" t="s">
        <v>29</v>
      </c>
      <c r="C12" s="5" t="n">
        <v>5</v>
      </c>
      <c r="D12" s="6" t="n">
        <v>0.8</v>
      </c>
      <c r="E12" s="7" t="n">
        <f aca="false">C12*D12</f>
        <v>4</v>
      </c>
      <c r="F12" s="4" t="s">
        <v>30</v>
      </c>
      <c r="G12" s="8" t="s">
        <v>33</v>
      </c>
    </row>
    <row r="13" customFormat="false" ht="15" hidden="false" customHeight="false" outlineLevel="0" collapsed="false">
      <c r="A13" s="4" t="s">
        <v>34</v>
      </c>
      <c r="B13" s="4" t="s">
        <v>29</v>
      </c>
      <c r="C13" s="5" t="n">
        <v>2</v>
      </c>
      <c r="D13" s="6" t="n">
        <v>0.85</v>
      </c>
      <c r="E13" s="7" t="n">
        <f aca="false">C13*D13</f>
        <v>1.7</v>
      </c>
      <c r="F13" s="4" t="s">
        <v>30</v>
      </c>
      <c r="G13" s="8" t="s">
        <v>35</v>
      </c>
    </row>
    <row r="14" customFormat="false" ht="15" hidden="false" customHeight="false" outlineLevel="0" collapsed="false">
      <c r="A14" s="4" t="s">
        <v>36</v>
      </c>
      <c r="B14" s="4" t="s">
        <v>29</v>
      </c>
      <c r="C14" s="5" t="n">
        <v>15</v>
      </c>
      <c r="D14" s="6" t="n">
        <v>0.3</v>
      </c>
      <c r="E14" s="7" t="n">
        <f aca="false">C14*D14</f>
        <v>4.5</v>
      </c>
      <c r="F14" s="4" t="s">
        <v>11</v>
      </c>
      <c r="G14" s="8" t="s">
        <v>37</v>
      </c>
    </row>
    <row r="15" customFormat="false" ht="15" hidden="false" customHeight="false" outlineLevel="0" collapsed="false">
      <c r="A15" s="4" t="s">
        <v>38</v>
      </c>
      <c r="B15" s="4" t="s">
        <v>29</v>
      </c>
      <c r="C15" s="5" t="n">
        <v>20</v>
      </c>
      <c r="D15" s="6" t="n">
        <v>0.3</v>
      </c>
      <c r="E15" s="7" t="n">
        <f aca="false">C15*D15</f>
        <v>6</v>
      </c>
      <c r="F15" s="4" t="s">
        <v>11</v>
      </c>
      <c r="G15" s="8" t="s">
        <v>37</v>
      </c>
    </row>
    <row r="16" customFormat="false" ht="15" hidden="false" customHeight="false" outlineLevel="0" collapsed="false">
      <c r="A16" s="4" t="s">
        <v>39</v>
      </c>
      <c r="B16" s="4" t="s">
        <v>29</v>
      </c>
      <c r="C16" s="5" t="n">
        <v>10</v>
      </c>
      <c r="D16" s="6" t="n">
        <v>0.2</v>
      </c>
      <c r="E16" s="7" t="n">
        <f aca="false">C16*D16</f>
        <v>2</v>
      </c>
      <c r="F16" s="4" t="s">
        <v>40</v>
      </c>
      <c r="G16" s="8" t="s">
        <v>41</v>
      </c>
    </row>
    <row r="17" customFormat="false" ht="15" hidden="false" customHeight="false" outlineLevel="0" collapsed="false">
      <c r="A17" s="4" t="s">
        <v>42</v>
      </c>
      <c r="B17" s="4" t="s">
        <v>29</v>
      </c>
      <c r="C17" s="5" t="n">
        <v>20</v>
      </c>
      <c r="D17" s="6" t="n">
        <v>0.15</v>
      </c>
      <c r="E17" s="7" t="n">
        <f aca="false">C17*D17</f>
        <v>3</v>
      </c>
      <c r="F17" s="4" t="s">
        <v>17</v>
      </c>
      <c r="G17" s="8" t="s">
        <v>43</v>
      </c>
    </row>
    <row r="18" customFormat="false" ht="15" hidden="false" customHeight="false" outlineLevel="0" collapsed="false">
      <c r="A18" s="4" t="s">
        <v>44</v>
      </c>
      <c r="B18" s="4" t="s">
        <v>29</v>
      </c>
      <c r="C18" s="5" t="n">
        <v>15</v>
      </c>
      <c r="D18" s="6" t="n">
        <v>0.2</v>
      </c>
      <c r="E18" s="7" t="n">
        <f aca="false">C18*D18</f>
        <v>3</v>
      </c>
      <c r="F18" s="4" t="s">
        <v>20</v>
      </c>
      <c r="G18" s="8" t="s">
        <v>45</v>
      </c>
    </row>
    <row r="19" customFormat="false" ht="15" hidden="false" customHeight="false" outlineLevel="0" collapsed="false">
      <c r="A19" s="4" t="s">
        <v>46</v>
      </c>
      <c r="B19" s="4" t="s">
        <v>29</v>
      </c>
      <c r="C19" s="5" t="n">
        <v>10</v>
      </c>
      <c r="D19" s="6" t="n">
        <v>0.2</v>
      </c>
      <c r="E19" s="7" t="n">
        <f aca="false">C19*D19</f>
        <v>2</v>
      </c>
      <c r="F19" s="4" t="s">
        <v>23</v>
      </c>
      <c r="G19" s="8" t="s">
        <v>45</v>
      </c>
    </row>
    <row r="20" customFormat="false" ht="15" hidden="false" customHeight="false" outlineLevel="0" collapsed="false">
      <c r="A20" s="4" t="s">
        <v>47</v>
      </c>
      <c r="B20" s="4" t="s">
        <v>29</v>
      </c>
      <c r="C20" s="5" t="n">
        <v>30</v>
      </c>
      <c r="D20" s="6" t="n">
        <v>0.15</v>
      </c>
      <c r="E20" s="7" t="n">
        <f aca="false">C20*D20</f>
        <v>4.5</v>
      </c>
      <c r="F20" s="4" t="s">
        <v>26</v>
      </c>
      <c r="G20" s="8" t="s">
        <v>48</v>
      </c>
    </row>
    <row r="21" customFormat="false" ht="15" hidden="false" customHeight="false" outlineLevel="0" collapsed="false">
      <c r="A21" s="4" t="s">
        <v>49</v>
      </c>
      <c r="B21" s="4" t="s">
        <v>50</v>
      </c>
      <c r="C21" s="5" t="n">
        <v>15</v>
      </c>
      <c r="D21" s="6" t="n">
        <v>0.9</v>
      </c>
      <c r="E21" s="7" t="n">
        <f aca="false">C21*D21</f>
        <v>13.5</v>
      </c>
      <c r="F21" s="4" t="s">
        <v>30</v>
      </c>
      <c r="G21" s="8" t="s">
        <v>51</v>
      </c>
    </row>
    <row r="22" customFormat="false" ht="15" hidden="false" customHeight="false" outlineLevel="0" collapsed="false">
      <c r="A22" s="4" t="s">
        <v>52</v>
      </c>
      <c r="B22" s="4" t="s">
        <v>50</v>
      </c>
      <c r="C22" s="5" t="n">
        <v>1</v>
      </c>
      <c r="D22" s="6" t="n">
        <v>0.9</v>
      </c>
      <c r="E22" s="7" t="n">
        <f aca="false">C22*D22</f>
        <v>0.9</v>
      </c>
      <c r="F22" s="4" t="s">
        <v>30</v>
      </c>
      <c r="G22" s="8" t="s">
        <v>53</v>
      </c>
    </row>
    <row r="23" customFormat="false" ht="15" hidden="false" customHeight="false" outlineLevel="0" collapsed="false">
      <c r="A23" s="4" t="s">
        <v>54</v>
      </c>
      <c r="B23" s="4" t="s">
        <v>50</v>
      </c>
      <c r="C23" s="5" t="n">
        <v>5</v>
      </c>
      <c r="D23" s="6" t="n">
        <v>0.6</v>
      </c>
      <c r="E23" s="7" t="n">
        <f aca="false">C23*D23</f>
        <v>3</v>
      </c>
      <c r="F23" s="4" t="s">
        <v>11</v>
      </c>
      <c r="G23" s="8" t="s">
        <v>55</v>
      </c>
    </row>
    <row r="24" customFormat="false" ht="15" hidden="false" customHeight="false" outlineLevel="0" collapsed="false">
      <c r="A24" s="4" t="s">
        <v>56</v>
      </c>
      <c r="B24" s="4" t="s">
        <v>50</v>
      </c>
      <c r="C24" s="5" t="n">
        <v>10</v>
      </c>
      <c r="D24" s="6" t="n">
        <v>0.4</v>
      </c>
      <c r="E24" s="7" t="n">
        <f aca="false">C24*D24</f>
        <v>4</v>
      </c>
      <c r="F24" s="4" t="s">
        <v>11</v>
      </c>
      <c r="G24" s="8" t="s">
        <v>57</v>
      </c>
    </row>
    <row r="25" customFormat="false" ht="15" hidden="false" customHeight="false" outlineLevel="0" collapsed="false">
      <c r="A25" s="4" t="s">
        <v>58</v>
      </c>
      <c r="B25" s="4" t="s">
        <v>50</v>
      </c>
      <c r="C25" s="5" t="n">
        <v>20</v>
      </c>
      <c r="D25" s="6" t="n">
        <v>0.5</v>
      </c>
      <c r="E25" s="7" t="n">
        <f aca="false">C25*D25</f>
        <v>10</v>
      </c>
      <c r="F25" s="4" t="s">
        <v>11</v>
      </c>
      <c r="G25" s="8" t="s">
        <v>59</v>
      </c>
    </row>
    <row r="26" customFormat="false" ht="15" hidden="false" customHeight="false" outlineLevel="0" collapsed="false">
      <c r="A26" s="4" t="s">
        <v>60</v>
      </c>
      <c r="B26" s="4" t="s">
        <v>50</v>
      </c>
      <c r="C26" s="5" t="n">
        <v>50</v>
      </c>
      <c r="D26" s="6" t="n">
        <v>0.35</v>
      </c>
      <c r="E26" s="7" t="n">
        <f aca="false">C26*D26</f>
        <v>17.5</v>
      </c>
      <c r="F26" s="4" t="s">
        <v>40</v>
      </c>
      <c r="G26" s="8" t="s">
        <v>61</v>
      </c>
    </row>
    <row r="27" customFormat="false" ht="15" hidden="false" customHeight="false" outlineLevel="0" collapsed="false">
      <c r="A27" s="4" t="s">
        <v>62</v>
      </c>
      <c r="B27" s="4" t="s">
        <v>50</v>
      </c>
      <c r="C27" s="5" t="n">
        <v>15</v>
      </c>
      <c r="D27" s="6" t="n">
        <v>0.25</v>
      </c>
      <c r="E27" s="7" t="n">
        <f aca="false">C27*D27</f>
        <v>3.75</v>
      </c>
      <c r="F27" s="4" t="s">
        <v>17</v>
      </c>
      <c r="G27" s="8" t="s">
        <v>37</v>
      </c>
    </row>
    <row r="28" customFormat="false" ht="15" hidden="false" customHeight="false" outlineLevel="0" collapsed="false">
      <c r="A28" s="4" t="s">
        <v>63</v>
      </c>
      <c r="B28" s="4" t="s">
        <v>50</v>
      </c>
      <c r="C28" s="5" t="n">
        <v>20</v>
      </c>
      <c r="D28" s="6" t="n">
        <v>0.3</v>
      </c>
      <c r="E28" s="7" t="n">
        <f aca="false">C28*D28</f>
        <v>6</v>
      </c>
      <c r="F28" s="4" t="s">
        <v>14</v>
      </c>
      <c r="G28" s="8" t="s">
        <v>64</v>
      </c>
    </row>
    <row r="29" customFormat="false" ht="15" hidden="false" customHeight="false" outlineLevel="0" collapsed="false">
      <c r="A29" s="4" t="s">
        <v>65</v>
      </c>
      <c r="B29" s="4" t="s">
        <v>50</v>
      </c>
      <c r="C29" s="5" t="n">
        <v>15</v>
      </c>
      <c r="D29" s="6" t="n">
        <v>0.25</v>
      </c>
      <c r="E29" s="7" t="n">
        <f aca="false">C29*D29</f>
        <v>3.75</v>
      </c>
      <c r="F29" s="4" t="s">
        <v>20</v>
      </c>
      <c r="G29" s="8" t="s">
        <v>66</v>
      </c>
    </row>
    <row r="30" customFormat="false" ht="15" hidden="false" customHeight="false" outlineLevel="0" collapsed="false">
      <c r="A30" s="4" t="s">
        <v>67</v>
      </c>
      <c r="B30" s="4" t="s">
        <v>50</v>
      </c>
      <c r="C30" s="5" t="n">
        <v>10</v>
      </c>
      <c r="D30" s="6" t="n">
        <v>0.25</v>
      </c>
      <c r="E30" s="7" t="n">
        <f aca="false">C30*D30</f>
        <v>2.5</v>
      </c>
      <c r="F30" s="4" t="s">
        <v>23</v>
      </c>
      <c r="G30" s="8" t="s">
        <v>68</v>
      </c>
    </row>
    <row r="31" customFormat="false" ht="15" hidden="false" customHeight="false" outlineLevel="0" collapsed="false">
      <c r="A31" s="4" t="s">
        <v>69</v>
      </c>
      <c r="B31" s="4" t="s">
        <v>70</v>
      </c>
      <c r="C31" s="5" t="n">
        <v>3</v>
      </c>
      <c r="D31" s="6" t="n">
        <v>0.5</v>
      </c>
      <c r="E31" s="7" t="n">
        <f aca="false">C31*D31</f>
        <v>1.5</v>
      </c>
      <c r="F31" s="4" t="s">
        <v>30</v>
      </c>
      <c r="G31" s="8" t="s">
        <v>71</v>
      </c>
    </row>
    <row r="32" customFormat="false" ht="15" hidden="false" customHeight="false" outlineLevel="0" collapsed="false">
      <c r="A32" s="4" t="s">
        <v>72</v>
      </c>
      <c r="B32" s="4" t="s">
        <v>70</v>
      </c>
      <c r="C32" s="5" t="n">
        <v>15</v>
      </c>
      <c r="D32" s="6" t="n">
        <v>0.35</v>
      </c>
      <c r="E32" s="7" t="n">
        <f aca="false">C32*D32</f>
        <v>5.25</v>
      </c>
      <c r="F32" s="4" t="s">
        <v>11</v>
      </c>
      <c r="G32" s="8" t="s">
        <v>73</v>
      </c>
    </row>
    <row r="33" customFormat="false" ht="15" hidden="false" customHeight="false" outlineLevel="0" collapsed="false">
      <c r="A33" s="4" t="s">
        <v>74</v>
      </c>
      <c r="B33" s="4" t="s">
        <v>70</v>
      </c>
      <c r="C33" s="5" t="n">
        <v>10</v>
      </c>
      <c r="D33" s="6" t="n">
        <v>0.25</v>
      </c>
      <c r="E33" s="7" t="n">
        <f aca="false">C33*D33</f>
        <v>2.5</v>
      </c>
      <c r="F33" s="4" t="s">
        <v>40</v>
      </c>
      <c r="G33" s="8" t="s">
        <v>75</v>
      </c>
    </row>
    <row r="34" customFormat="false" ht="15" hidden="false" customHeight="false" outlineLevel="0" collapsed="false">
      <c r="A34" s="4" t="s">
        <v>76</v>
      </c>
      <c r="B34" s="4" t="s">
        <v>70</v>
      </c>
      <c r="C34" s="5" t="n">
        <v>10</v>
      </c>
      <c r="D34" s="6" t="n">
        <v>0.2</v>
      </c>
      <c r="E34" s="7" t="n">
        <f aca="false">C34*D34</f>
        <v>2</v>
      </c>
      <c r="F34" s="4" t="s">
        <v>17</v>
      </c>
      <c r="G34" s="8" t="s">
        <v>37</v>
      </c>
    </row>
    <row r="35" customFormat="false" ht="15" hidden="false" customHeight="false" outlineLevel="0" collapsed="false">
      <c r="A35" s="4" t="s">
        <v>77</v>
      </c>
      <c r="B35" s="4" t="s">
        <v>70</v>
      </c>
      <c r="C35" s="5" t="n">
        <v>20</v>
      </c>
      <c r="D35" s="6" t="n">
        <v>0.2</v>
      </c>
      <c r="E35" s="7" t="n">
        <f aca="false">C35*D35</f>
        <v>4</v>
      </c>
      <c r="F35" s="4" t="s">
        <v>20</v>
      </c>
      <c r="G35" s="8" t="s">
        <v>78</v>
      </c>
    </row>
    <row r="36" customFormat="false" ht="15" hidden="false" customHeight="false" outlineLevel="0" collapsed="false">
      <c r="A36" s="4" t="s">
        <v>79</v>
      </c>
      <c r="B36" s="4" t="s">
        <v>70</v>
      </c>
      <c r="C36" s="5" t="n">
        <v>15</v>
      </c>
      <c r="D36" s="6" t="n">
        <v>0.25</v>
      </c>
      <c r="E36" s="7" t="n">
        <f aca="false">C36*D36</f>
        <v>3.75</v>
      </c>
      <c r="F36" s="4" t="s">
        <v>23</v>
      </c>
      <c r="G36" s="8" t="s">
        <v>57</v>
      </c>
    </row>
    <row r="37" customFormat="false" ht="15" hidden="false" customHeight="false" outlineLevel="0" collapsed="false">
      <c r="A37" s="4" t="s">
        <v>80</v>
      </c>
      <c r="B37" s="4" t="s">
        <v>81</v>
      </c>
      <c r="C37" s="5" t="n">
        <v>10</v>
      </c>
      <c r="D37" s="6" t="n">
        <v>0.3</v>
      </c>
      <c r="E37" s="7" t="n">
        <f aca="false">C37*D37</f>
        <v>3</v>
      </c>
      <c r="F37" s="4" t="s">
        <v>11</v>
      </c>
      <c r="G37" s="8" t="s">
        <v>82</v>
      </c>
    </row>
    <row r="38" customFormat="false" ht="15" hidden="false" customHeight="false" outlineLevel="0" collapsed="false">
      <c r="A38" s="4" t="s">
        <v>83</v>
      </c>
      <c r="B38" s="4" t="s">
        <v>81</v>
      </c>
      <c r="C38" s="5" t="n">
        <v>4</v>
      </c>
      <c r="D38" s="6" t="n">
        <v>0.85</v>
      </c>
      <c r="E38" s="7" t="n">
        <f aca="false">C38*D38</f>
        <v>3.4</v>
      </c>
      <c r="F38" s="4" t="s">
        <v>30</v>
      </c>
      <c r="G38" s="8" t="s">
        <v>84</v>
      </c>
    </row>
    <row r="39" customFormat="false" ht="15" hidden="false" customHeight="false" outlineLevel="0" collapsed="false">
      <c r="A39" s="4" t="s">
        <v>85</v>
      </c>
      <c r="B39" s="4" t="s">
        <v>81</v>
      </c>
      <c r="C39" s="5" t="n">
        <v>15</v>
      </c>
      <c r="D39" s="6" t="n">
        <v>0.2</v>
      </c>
      <c r="E39" s="7" t="n">
        <f aca="false">C39*D39</f>
        <v>3</v>
      </c>
      <c r="F39" s="4" t="s">
        <v>40</v>
      </c>
      <c r="G39" s="8" t="s">
        <v>86</v>
      </c>
    </row>
    <row r="40" customFormat="false" ht="15" hidden="false" customHeight="false" outlineLevel="0" collapsed="false">
      <c r="A40" s="4" t="s">
        <v>87</v>
      </c>
      <c r="B40" s="4" t="s">
        <v>88</v>
      </c>
      <c r="C40" s="5" t="n">
        <v>1</v>
      </c>
      <c r="D40" s="6" t="n">
        <v>0.95</v>
      </c>
      <c r="E40" s="7" t="n">
        <f aca="false">C40*D40</f>
        <v>0.95</v>
      </c>
      <c r="F40" s="4" t="s">
        <v>30</v>
      </c>
      <c r="G40" s="8" t="s">
        <v>89</v>
      </c>
    </row>
    <row r="41" customFormat="false" ht="15" hidden="false" customHeight="false" outlineLevel="0" collapsed="false">
      <c r="A41" s="4" t="s">
        <v>90</v>
      </c>
      <c r="B41" s="4" t="s">
        <v>88</v>
      </c>
      <c r="C41" s="5" t="n">
        <v>50</v>
      </c>
      <c r="D41" s="6" t="n">
        <v>0.3</v>
      </c>
      <c r="E41" s="7" t="n">
        <f aca="false">C41*D41</f>
        <v>15</v>
      </c>
      <c r="F41" s="4" t="s">
        <v>11</v>
      </c>
      <c r="G41" s="8" t="s">
        <v>91</v>
      </c>
    </row>
    <row r="42" customFormat="false" ht="15" hidden="false" customHeight="false" outlineLevel="0" collapsed="false">
      <c r="A42" s="4" t="s">
        <v>92</v>
      </c>
      <c r="B42" s="4" t="s">
        <v>88</v>
      </c>
      <c r="C42" s="5" t="n">
        <v>5</v>
      </c>
      <c r="D42" s="6" t="n">
        <v>0.4</v>
      </c>
      <c r="E42" s="7" t="n">
        <f aca="false">C42*D42</f>
        <v>2</v>
      </c>
      <c r="F42" s="4" t="s">
        <v>11</v>
      </c>
      <c r="G42" s="8" t="s">
        <v>93</v>
      </c>
    </row>
    <row r="43" customFormat="false" ht="15" hidden="false" customHeight="false" outlineLevel="0" collapsed="false">
      <c r="A43" s="4" t="s">
        <v>94</v>
      </c>
      <c r="B43" s="4" t="s">
        <v>88</v>
      </c>
      <c r="C43" s="5" t="n">
        <v>2</v>
      </c>
      <c r="D43" s="6" t="n">
        <v>0.5</v>
      </c>
      <c r="E43" s="7" t="n">
        <f aca="false">C43*D43</f>
        <v>1</v>
      </c>
      <c r="F43" s="4" t="s">
        <v>11</v>
      </c>
      <c r="G43" s="8" t="s">
        <v>95</v>
      </c>
    </row>
    <row r="44" customFormat="false" ht="15" hidden="false" customHeight="false" outlineLevel="0" collapsed="false">
      <c r="A44" s="4" t="s">
        <v>96</v>
      </c>
      <c r="B44" s="4" t="s">
        <v>88</v>
      </c>
      <c r="C44" s="5" t="n">
        <v>5</v>
      </c>
      <c r="D44" s="6" t="n">
        <v>0.25</v>
      </c>
      <c r="E44" s="7" t="n">
        <f aca="false">C44*D44</f>
        <v>1.25</v>
      </c>
      <c r="F44" s="4" t="s">
        <v>40</v>
      </c>
      <c r="G44" s="8" t="s">
        <v>75</v>
      </c>
    </row>
    <row r="45" customFormat="false" ht="15" hidden="false" customHeight="false" outlineLevel="0" collapsed="false">
      <c r="A45" s="4" t="s">
        <v>97</v>
      </c>
      <c r="B45" s="4" t="s">
        <v>88</v>
      </c>
      <c r="C45" s="5" t="n">
        <v>10</v>
      </c>
      <c r="D45" s="6" t="n">
        <v>0.2</v>
      </c>
      <c r="E45" s="7" t="n">
        <f aca="false">C45*D45</f>
        <v>2</v>
      </c>
      <c r="F45" s="4" t="s">
        <v>17</v>
      </c>
      <c r="G45" s="8" t="s">
        <v>41</v>
      </c>
    </row>
    <row r="46" customFormat="false" ht="15" hidden="false" customHeight="false" outlineLevel="0" collapsed="false">
      <c r="A46" s="4" t="s">
        <v>98</v>
      </c>
      <c r="B46" s="4" t="s">
        <v>88</v>
      </c>
      <c r="C46" s="5" t="n">
        <v>5</v>
      </c>
      <c r="D46" s="6" t="n">
        <v>0.15</v>
      </c>
      <c r="E46" s="7" t="n">
        <f aca="false">C46*D46</f>
        <v>0.75</v>
      </c>
      <c r="F46" s="4" t="s">
        <v>14</v>
      </c>
      <c r="G46" s="8" t="s">
        <v>45</v>
      </c>
    </row>
    <row r="47" customFormat="false" ht="15" hidden="false" customHeight="false" outlineLevel="0" collapsed="false">
      <c r="A47" s="4" t="s">
        <v>99</v>
      </c>
      <c r="B47" s="4" t="s">
        <v>100</v>
      </c>
      <c r="C47" s="5" t="n">
        <v>2</v>
      </c>
      <c r="D47" s="6" t="n">
        <v>0.8</v>
      </c>
      <c r="E47" s="7" t="n">
        <f aca="false">C47*D47</f>
        <v>1.6</v>
      </c>
      <c r="F47" s="4" t="s">
        <v>30</v>
      </c>
      <c r="G47" s="8" t="s">
        <v>101</v>
      </c>
    </row>
    <row r="48" customFormat="false" ht="15" hidden="false" customHeight="false" outlineLevel="0" collapsed="false">
      <c r="A48" s="4" t="s">
        <v>102</v>
      </c>
      <c r="B48" s="4" t="s">
        <v>100</v>
      </c>
      <c r="C48" s="5" t="n">
        <v>3</v>
      </c>
      <c r="D48" s="6" t="n">
        <v>0.75</v>
      </c>
      <c r="E48" s="7" t="n">
        <f aca="false">C48*D48</f>
        <v>2.25</v>
      </c>
      <c r="F48" s="4" t="s">
        <v>30</v>
      </c>
      <c r="G48" s="8" t="s">
        <v>103</v>
      </c>
    </row>
    <row r="49" customFormat="false" ht="15" hidden="false" customHeight="false" outlineLevel="0" collapsed="false">
      <c r="A49" s="4" t="s">
        <v>104</v>
      </c>
      <c r="B49" s="4" t="s">
        <v>100</v>
      </c>
      <c r="C49" s="5" t="n">
        <v>1</v>
      </c>
      <c r="D49" s="6" t="n">
        <v>0.85</v>
      </c>
      <c r="E49" s="7" t="n">
        <f aca="false">C49*D49</f>
        <v>0.85</v>
      </c>
      <c r="F49" s="4" t="s">
        <v>30</v>
      </c>
      <c r="G49" s="8" t="s">
        <v>53</v>
      </c>
    </row>
    <row r="50" customFormat="false" ht="15" hidden="false" customHeight="false" outlineLevel="0" collapsed="false">
      <c r="A50" s="4" t="s">
        <v>105</v>
      </c>
      <c r="B50" s="4" t="s">
        <v>100</v>
      </c>
      <c r="C50" s="5" t="n">
        <v>20</v>
      </c>
      <c r="D50" s="6" t="n">
        <v>0.3</v>
      </c>
      <c r="E50" s="7" t="n">
        <f aca="false">C50*D50</f>
        <v>6</v>
      </c>
      <c r="F50" s="4" t="s">
        <v>40</v>
      </c>
      <c r="G50" s="8" t="s">
        <v>37</v>
      </c>
    </row>
    <row r="51" customFormat="false" ht="15" hidden="false" customHeight="false" outlineLevel="0" collapsed="false">
      <c r="A51" s="4" t="s">
        <v>106</v>
      </c>
      <c r="B51" s="4" t="s">
        <v>100</v>
      </c>
      <c r="C51" s="5" t="n">
        <v>10</v>
      </c>
      <c r="D51" s="6" t="n">
        <v>0.2</v>
      </c>
      <c r="E51" s="7" t="n">
        <f aca="false">C51*D51</f>
        <v>2</v>
      </c>
      <c r="F51" s="4" t="s">
        <v>17</v>
      </c>
      <c r="G51" s="8" t="s">
        <v>100</v>
      </c>
    </row>
    <row r="52" customFormat="false" ht="15" hidden="false" customHeight="false" outlineLevel="0" collapsed="false">
      <c r="A52" s="4" t="s">
        <v>107</v>
      </c>
      <c r="B52" s="4" t="s">
        <v>100</v>
      </c>
      <c r="C52" s="5" t="n">
        <v>10</v>
      </c>
      <c r="D52" s="6" t="n">
        <v>0.15</v>
      </c>
      <c r="E52" s="7" t="n">
        <f aca="false">C52*D52</f>
        <v>1.5</v>
      </c>
      <c r="F52" s="4" t="s">
        <v>20</v>
      </c>
      <c r="G52" s="8" t="s">
        <v>108</v>
      </c>
    </row>
    <row r="53" customFormat="false" ht="15" hidden="false" customHeight="false" outlineLevel="0" collapsed="false">
      <c r="A53" s="9" t="s">
        <v>109</v>
      </c>
      <c r="C53" s="10" t="n">
        <f aca="false">SUM(C5:C52)</f>
        <v>1614</v>
      </c>
      <c r="E53" s="11" t="n">
        <f aca="false">SUM(E5:E52)</f>
        <v>859.9</v>
      </c>
    </row>
    <row r="56" customFormat="false" ht="15" hidden="false" customHeight="false" outlineLevel="0" collapsed="false">
      <c r="A56" s="12" t="s">
        <v>110</v>
      </c>
    </row>
    <row r="57" customFormat="false" ht="15" hidden="false" customHeight="false" outlineLevel="0" collapsed="false">
      <c r="A57" s="13" t="s">
        <v>3</v>
      </c>
      <c r="B57" s="13" t="s">
        <v>111</v>
      </c>
      <c r="C57" s="13" t="s">
        <v>112</v>
      </c>
      <c r="D57" s="13" t="s">
        <v>113</v>
      </c>
      <c r="E57" s="13" t="s">
        <v>6</v>
      </c>
    </row>
    <row r="58" customFormat="false" ht="15" hidden="false" customHeight="false" outlineLevel="0" collapsed="false">
      <c r="A58" s="14" t="s">
        <v>10</v>
      </c>
      <c r="B58" s="15" t="n">
        <v>6</v>
      </c>
      <c r="C58" s="16" t="n">
        <v>1075</v>
      </c>
      <c r="D58" s="17" t="n">
        <v>0.458333333333333</v>
      </c>
      <c r="E58" s="18" t="n">
        <v>681.25</v>
      </c>
    </row>
    <row r="59" customFormat="false" ht="15" hidden="false" customHeight="false" outlineLevel="0" collapsed="false">
      <c r="A59" s="14" t="s">
        <v>29</v>
      </c>
      <c r="B59" s="15" t="n">
        <v>10</v>
      </c>
      <c r="C59" s="16" t="n">
        <v>152</v>
      </c>
      <c r="D59" s="17" t="n">
        <v>0.385</v>
      </c>
      <c r="E59" s="18" t="n">
        <v>48.2</v>
      </c>
    </row>
    <row r="60" customFormat="false" ht="15" hidden="false" customHeight="false" outlineLevel="0" collapsed="false">
      <c r="A60" s="14" t="s">
        <v>50</v>
      </c>
      <c r="B60" s="15" t="n">
        <v>10</v>
      </c>
      <c r="C60" s="16" t="n">
        <v>161</v>
      </c>
      <c r="D60" s="17" t="n">
        <v>0.47</v>
      </c>
      <c r="E60" s="18" t="n">
        <v>64.9</v>
      </c>
    </row>
    <row r="61" customFormat="false" ht="15" hidden="false" customHeight="false" outlineLevel="0" collapsed="false">
      <c r="A61" s="14" t="s">
        <v>70</v>
      </c>
      <c r="B61" s="15" t="n">
        <v>6</v>
      </c>
      <c r="C61" s="16" t="n">
        <v>73</v>
      </c>
      <c r="D61" s="17" t="n">
        <v>0.291666666666667</v>
      </c>
      <c r="E61" s="18" t="n">
        <v>19</v>
      </c>
    </row>
    <row r="62" customFormat="false" ht="15" hidden="false" customHeight="false" outlineLevel="0" collapsed="false">
      <c r="A62" s="14" t="s">
        <v>81</v>
      </c>
      <c r="B62" s="15" t="n">
        <v>3</v>
      </c>
      <c r="C62" s="16" t="n">
        <v>29</v>
      </c>
      <c r="D62" s="17" t="n">
        <v>0.45</v>
      </c>
      <c r="E62" s="18" t="n">
        <v>9.4</v>
      </c>
    </row>
    <row r="63" customFormat="false" ht="15" hidden="false" customHeight="false" outlineLevel="0" collapsed="false">
      <c r="A63" s="14" t="s">
        <v>88</v>
      </c>
      <c r="B63" s="15" t="n">
        <v>7</v>
      </c>
      <c r="C63" s="16" t="n">
        <v>78</v>
      </c>
      <c r="D63" s="17" t="n">
        <v>0.392857142857143</v>
      </c>
      <c r="E63" s="18" t="n">
        <v>22.95</v>
      </c>
    </row>
    <row r="64" customFormat="false" ht="15" hidden="false" customHeight="false" outlineLevel="0" collapsed="false">
      <c r="A64" s="14" t="s">
        <v>100</v>
      </c>
      <c r="B64" s="15" t="n">
        <v>6</v>
      </c>
      <c r="C64" s="16" t="n">
        <v>46</v>
      </c>
      <c r="D64" s="17" t="n">
        <v>0.508333333333333</v>
      </c>
      <c r="E64" s="18" t="n">
        <v>14.2</v>
      </c>
    </row>
    <row r="65" customFormat="false" ht="15" hidden="false" customHeight="false" outlineLevel="0" collapsed="false">
      <c r="A65" s="9" t="s">
        <v>114</v>
      </c>
      <c r="B65" s="19" t="n">
        <f aca="false">SUM(B58:B64)</f>
        <v>48</v>
      </c>
      <c r="C65" s="19" t="n">
        <f aca="false">SUM(C58:C64)</f>
        <v>1614</v>
      </c>
      <c r="E65" s="20" t="n">
        <f aca="false">SUM(E58:E64)</f>
        <v>859.9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37" min="2" style="0" width="12"/>
    <col collapsed="false" customWidth="true" hidden="false" outlineLevel="0" max="41" min="38" style="0" width="14"/>
  </cols>
  <sheetData>
    <row r="1" customFormat="false" ht="17.3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4" customFormat="false" ht="15" hidden="false" customHeight="false" outlineLevel="0" collapsed="false">
      <c r="A4" s="21" t="s">
        <v>117</v>
      </c>
      <c r="B4" s="22" t="s">
        <v>118</v>
      </c>
      <c r="C4" s="22" t="s">
        <v>119</v>
      </c>
      <c r="D4" s="22" t="s">
        <v>120</v>
      </c>
      <c r="E4" s="22" t="s">
        <v>121</v>
      </c>
      <c r="F4" s="22" t="s">
        <v>122</v>
      </c>
      <c r="G4" s="22" t="s">
        <v>123</v>
      </c>
      <c r="H4" s="22" t="s">
        <v>124</v>
      </c>
      <c r="I4" s="22" t="s">
        <v>125</v>
      </c>
      <c r="J4" s="22" t="s">
        <v>126</v>
      </c>
      <c r="K4" s="22" t="s">
        <v>127</v>
      </c>
      <c r="L4" s="22" t="s">
        <v>128</v>
      </c>
      <c r="M4" s="22" t="s">
        <v>129</v>
      </c>
      <c r="N4" s="22" t="s">
        <v>130</v>
      </c>
      <c r="O4" s="22" t="s">
        <v>131</v>
      </c>
      <c r="P4" s="22" t="s">
        <v>132</v>
      </c>
      <c r="Q4" s="22" t="s">
        <v>133</v>
      </c>
      <c r="R4" s="22" t="s">
        <v>134</v>
      </c>
      <c r="S4" s="22" t="s">
        <v>135</v>
      </c>
      <c r="T4" s="22" t="s">
        <v>136</v>
      </c>
      <c r="U4" s="22" t="s">
        <v>137</v>
      </c>
      <c r="V4" s="22" t="s">
        <v>138</v>
      </c>
      <c r="W4" s="22" t="s">
        <v>139</v>
      </c>
      <c r="X4" s="22" t="s">
        <v>140</v>
      </c>
      <c r="Y4" s="22" t="s">
        <v>141</v>
      </c>
      <c r="Z4" s="22" t="s">
        <v>142</v>
      </c>
      <c r="AA4" s="22" t="s">
        <v>143</v>
      </c>
      <c r="AB4" s="22" t="s">
        <v>144</v>
      </c>
      <c r="AC4" s="22" t="s">
        <v>145</v>
      </c>
      <c r="AD4" s="22" t="s">
        <v>146</v>
      </c>
      <c r="AE4" s="22" t="s">
        <v>147</v>
      </c>
      <c r="AF4" s="22" t="s">
        <v>148</v>
      </c>
      <c r="AG4" s="22" t="s">
        <v>149</v>
      </c>
      <c r="AH4" s="22" t="s">
        <v>150</v>
      </c>
      <c r="AI4" s="22" t="s">
        <v>151</v>
      </c>
      <c r="AJ4" s="22" t="s">
        <v>152</v>
      </c>
      <c r="AK4" s="22" t="s">
        <v>153</v>
      </c>
      <c r="AL4" s="23" t="s">
        <v>154</v>
      </c>
      <c r="AM4" s="23" t="s">
        <v>155</v>
      </c>
      <c r="AN4" s="23" t="s">
        <v>156</v>
      </c>
      <c r="AO4" s="23" t="s">
        <v>114</v>
      </c>
    </row>
    <row r="6" customFormat="false" ht="15" hidden="false" customHeight="false" outlineLevel="0" collapsed="false">
      <c r="A6" s="24" t="s">
        <v>157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</row>
    <row r="7" customFormat="false" ht="15" hidden="false" customHeight="false" outlineLevel="0" collapsed="false">
      <c r="A7" s="4" t="s">
        <v>158</v>
      </c>
      <c r="B7" s="26" t="n">
        <v>40749</v>
      </c>
      <c r="C7" s="26" t="n">
        <v>41548</v>
      </c>
      <c r="D7" s="26" t="n">
        <v>43945</v>
      </c>
      <c r="E7" s="26" t="n">
        <v>43945</v>
      </c>
      <c r="F7" s="26" t="n">
        <v>45543</v>
      </c>
      <c r="G7" s="26" t="n">
        <v>167790</v>
      </c>
      <c r="H7" s="26" t="n">
        <v>170986</v>
      </c>
      <c r="I7" s="26" t="n">
        <v>174182</v>
      </c>
      <c r="J7" s="26" t="n">
        <v>56729</v>
      </c>
      <c r="K7" s="26" t="n">
        <v>61523</v>
      </c>
      <c r="L7" s="26" t="n">
        <v>67915</v>
      </c>
      <c r="M7" s="26" t="n">
        <v>73508</v>
      </c>
      <c r="N7" s="26" t="n">
        <v>80699</v>
      </c>
      <c r="O7" s="26" t="n">
        <v>88689</v>
      </c>
      <c r="P7" s="26" t="n">
        <v>99076</v>
      </c>
      <c r="Q7" s="26" t="n">
        <v>109463</v>
      </c>
      <c r="R7" s="26" t="n">
        <v>119850</v>
      </c>
      <c r="S7" s="26" t="n">
        <v>131835</v>
      </c>
      <c r="T7" s="26" t="n">
        <v>142222</v>
      </c>
      <c r="U7" s="26" t="n">
        <v>153408</v>
      </c>
      <c r="V7" s="26" t="n">
        <v>164594</v>
      </c>
      <c r="W7" s="26" t="n">
        <v>174981</v>
      </c>
      <c r="X7" s="26" t="n">
        <v>184569</v>
      </c>
      <c r="Y7" s="26" t="n">
        <v>191760</v>
      </c>
      <c r="Z7" s="26" t="n">
        <v>199750</v>
      </c>
      <c r="AA7" s="26" t="n">
        <v>206941</v>
      </c>
      <c r="AB7" s="26" t="n">
        <v>212534</v>
      </c>
      <c r="AC7" s="26" t="n">
        <v>216529</v>
      </c>
      <c r="AD7" s="26" t="n">
        <v>220524</v>
      </c>
      <c r="AE7" s="26" t="n">
        <v>223720</v>
      </c>
      <c r="AF7" s="26" t="n">
        <v>226916</v>
      </c>
      <c r="AG7" s="26" t="n">
        <v>229313</v>
      </c>
      <c r="AH7" s="26" t="n">
        <v>230112</v>
      </c>
      <c r="AI7" s="26" t="n">
        <v>230112</v>
      </c>
      <c r="AJ7" s="26" t="n">
        <v>231710</v>
      </c>
      <c r="AK7" s="26" t="n">
        <v>232509</v>
      </c>
      <c r="AL7" s="27" t="n">
        <v>988363</v>
      </c>
      <c r="AM7" s="27" t="n">
        <v>1641146</v>
      </c>
      <c r="AN7" s="27" t="n">
        <v>2660670</v>
      </c>
      <c r="AO7" s="27" t="n">
        <v>5290179</v>
      </c>
    </row>
    <row r="8" customFormat="false" ht="15" hidden="false" customHeight="false" outlineLevel="0" collapsed="false">
      <c r="A8" s="4" t="s">
        <v>159</v>
      </c>
      <c r="B8" s="26" t="n">
        <v>2550</v>
      </c>
      <c r="C8" s="26" t="n">
        <v>5150</v>
      </c>
      <c r="D8" s="26" t="n">
        <v>7900</v>
      </c>
      <c r="E8" s="26" t="n">
        <v>10650</v>
      </c>
      <c r="F8" s="26" t="n">
        <v>13500</v>
      </c>
      <c r="G8" s="26" t="n">
        <v>24000</v>
      </c>
      <c r="H8" s="26" t="n">
        <v>34700</v>
      </c>
      <c r="I8" s="26" t="n">
        <v>45550</v>
      </c>
      <c r="J8" s="26" t="n">
        <v>49050</v>
      </c>
      <c r="K8" s="26" t="n">
        <v>52850</v>
      </c>
      <c r="L8" s="26" t="n">
        <v>57050</v>
      </c>
      <c r="M8" s="26" t="n">
        <v>61600</v>
      </c>
      <c r="N8" s="26" t="n">
        <v>66600</v>
      </c>
      <c r="O8" s="26" t="n">
        <v>72100</v>
      </c>
      <c r="P8" s="26" t="n">
        <v>78250</v>
      </c>
      <c r="Q8" s="26" t="n">
        <v>85050</v>
      </c>
      <c r="R8" s="26" t="n">
        <v>92500</v>
      </c>
      <c r="S8" s="26" t="n">
        <v>100650</v>
      </c>
      <c r="T8" s="26" t="n">
        <v>109450</v>
      </c>
      <c r="U8" s="26" t="n">
        <v>118950</v>
      </c>
      <c r="V8" s="26" t="n">
        <v>129150</v>
      </c>
      <c r="W8" s="26" t="n">
        <v>140000</v>
      </c>
      <c r="X8" s="26" t="n">
        <v>151450</v>
      </c>
      <c r="Y8" s="26" t="n">
        <v>163300</v>
      </c>
      <c r="Z8" s="26" t="n">
        <v>175650</v>
      </c>
      <c r="AA8" s="26" t="n">
        <v>188450</v>
      </c>
      <c r="AB8" s="26" t="n">
        <v>201600</v>
      </c>
      <c r="AC8" s="26" t="n">
        <v>215000</v>
      </c>
      <c r="AD8" s="26" t="n">
        <v>228600</v>
      </c>
      <c r="AE8" s="26" t="n">
        <v>242400</v>
      </c>
      <c r="AF8" s="26" t="n">
        <v>256400</v>
      </c>
      <c r="AG8" s="26" t="n">
        <v>270550</v>
      </c>
      <c r="AH8" s="26" t="n">
        <v>284700</v>
      </c>
      <c r="AI8" s="26" t="n">
        <v>298850</v>
      </c>
      <c r="AJ8" s="26" t="n">
        <v>313100</v>
      </c>
      <c r="AK8" s="26" t="n">
        <v>2550</v>
      </c>
      <c r="AL8" s="27" t="n">
        <v>364550</v>
      </c>
      <c r="AM8" s="27" t="n">
        <v>1307450</v>
      </c>
      <c r="AN8" s="27" t="n">
        <v>2677850</v>
      </c>
      <c r="AO8" s="27" t="n">
        <v>4349850</v>
      </c>
    </row>
    <row r="9" customFormat="false" ht="15" hidden="false" customHeight="false" outlineLevel="0" collapsed="false">
      <c r="A9" s="4" t="s">
        <v>160</v>
      </c>
      <c r="B9" s="26" t="n">
        <v>7650</v>
      </c>
      <c r="C9" s="26" t="n">
        <v>7800</v>
      </c>
      <c r="D9" s="26" t="n">
        <v>8250</v>
      </c>
      <c r="E9" s="26" t="n">
        <v>8250</v>
      </c>
      <c r="F9" s="26" t="n">
        <v>8550</v>
      </c>
      <c r="G9" s="26" t="n">
        <v>31500</v>
      </c>
      <c r="H9" s="26" t="n">
        <v>32100</v>
      </c>
      <c r="I9" s="26" t="n">
        <v>32700</v>
      </c>
      <c r="J9" s="26" t="n">
        <v>10650</v>
      </c>
      <c r="K9" s="26" t="n">
        <v>11550</v>
      </c>
      <c r="L9" s="26" t="n">
        <v>12750</v>
      </c>
      <c r="M9" s="26" t="n">
        <v>13800</v>
      </c>
      <c r="N9" s="26" t="n">
        <v>15150</v>
      </c>
      <c r="O9" s="26" t="n">
        <v>16650</v>
      </c>
      <c r="P9" s="26" t="n">
        <v>18600</v>
      </c>
      <c r="Q9" s="26" t="n">
        <v>20550</v>
      </c>
      <c r="R9" s="26" t="n">
        <v>22500</v>
      </c>
      <c r="S9" s="26" t="n">
        <v>24750</v>
      </c>
      <c r="T9" s="26" t="n">
        <v>26700</v>
      </c>
      <c r="U9" s="26" t="n">
        <v>28800</v>
      </c>
      <c r="V9" s="26" t="n">
        <v>30900</v>
      </c>
      <c r="W9" s="26" t="n">
        <v>32850</v>
      </c>
      <c r="X9" s="26" t="n">
        <v>34650</v>
      </c>
      <c r="Y9" s="26" t="n">
        <v>36000</v>
      </c>
      <c r="Z9" s="26" t="n">
        <v>37500</v>
      </c>
      <c r="AA9" s="26" t="n">
        <v>38850</v>
      </c>
      <c r="AB9" s="26" t="n">
        <v>39900</v>
      </c>
      <c r="AC9" s="26" t="n">
        <v>40650</v>
      </c>
      <c r="AD9" s="26" t="n">
        <v>41400</v>
      </c>
      <c r="AE9" s="26" t="n">
        <v>42000</v>
      </c>
      <c r="AF9" s="26" t="n">
        <v>42600</v>
      </c>
      <c r="AG9" s="26" t="n">
        <v>43050</v>
      </c>
      <c r="AH9" s="26" t="n">
        <v>43200</v>
      </c>
      <c r="AI9" s="26" t="n">
        <v>43200</v>
      </c>
      <c r="AJ9" s="26" t="n">
        <v>43500</v>
      </c>
      <c r="AK9" s="26" t="n">
        <v>7650</v>
      </c>
      <c r="AL9" s="27" t="n">
        <v>185550</v>
      </c>
      <c r="AM9" s="27" t="n">
        <v>308100</v>
      </c>
      <c r="AN9" s="27" t="n">
        <v>463500</v>
      </c>
      <c r="AO9" s="27" t="n">
        <v>957150</v>
      </c>
    </row>
    <row r="10" customFormat="false" ht="15" hidden="false" customHeight="false" outlineLevel="0" collapsed="false">
      <c r="A10" s="4" t="s">
        <v>161</v>
      </c>
      <c r="B10" s="26" t="n">
        <v>170</v>
      </c>
      <c r="C10" s="26" t="n">
        <v>343</v>
      </c>
      <c r="D10" s="26" t="n">
        <v>527</v>
      </c>
      <c r="E10" s="26" t="n">
        <v>710</v>
      </c>
      <c r="F10" s="26" t="n">
        <v>900</v>
      </c>
      <c r="G10" s="26" t="n">
        <v>1600</v>
      </c>
      <c r="H10" s="26" t="n">
        <v>2313</v>
      </c>
      <c r="I10" s="26" t="n">
        <v>3037</v>
      </c>
      <c r="J10" s="26" t="n">
        <v>3270</v>
      </c>
      <c r="K10" s="26" t="n">
        <v>3523</v>
      </c>
      <c r="L10" s="26" t="n">
        <v>3803</v>
      </c>
      <c r="M10" s="26" t="n">
        <v>4107</v>
      </c>
      <c r="N10" s="26" t="n">
        <v>4440</v>
      </c>
      <c r="O10" s="26" t="n">
        <v>4807</v>
      </c>
      <c r="P10" s="26" t="n">
        <v>5217</v>
      </c>
      <c r="Q10" s="26" t="n">
        <v>5670</v>
      </c>
      <c r="R10" s="26" t="n">
        <v>6167</v>
      </c>
      <c r="S10" s="26" t="n">
        <v>6710</v>
      </c>
      <c r="T10" s="26" t="n">
        <v>7297</v>
      </c>
      <c r="U10" s="26" t="n">
        <v>7930</v>
      </c>
      <c r="V10" s="26" t="n">
        <v>8610</v>
      </c>
      <c r="W10" s="26" t="n">
        <v>9333</v>
      </c>
      <c r="X10" s="26" t="n">
        <v>10097</v>
      </c>
      <c r="Y10" s="26" t="n">
        <v>10887</v>
      </c>
      <c r="Z10" s="26" t="n">
        <v>11710</v>
      </c>
      <c r="AA10" s="26" t="n">
        <v>12563</v>
      </c>
      <c r="AB10" s="26" t="n">
        <v>13440</v>
      </c>
      <c r="AC10" s="26" t="n">
        <v>14333</v>
      </c>
      <c r="AD10" s="26" t="n">
        <v>15240</v>
      </c>
      <c r="AE10" s="26" t="n">
        <v>16160</v>
      </c>
      <c r="AF10" s="26" t="n">
        <v>17093</v>
      </c>
      <c r="AG10" s="26" t="n">
        <v>18037</v>
      </c>
      <c r="AH10" s="26" t="n">
        <v>18980</v>
      </c>
      <c r="AI10" s="26" t="n">
        <v>19923</v>
      </c>
      <c r="AJ10" s="26" t="n">
        <v>20873</v>
      </c>
      <c r="AK10" s="26" t="n">
        <v>170</v>
      </c>
      <c r="AL10" s="27" t="n">
        <v>24303</v>
      </c>
      <c r="AM10" s="27" t="n">
        <v>87165</v>
      </c>
      <c r="AN10" s="27" t="n">
        <v>178522</v>
      </c>
      <c r="AO10" s="27" t="n">
        <v>289990</v>
      </c>
    </row>
    <row r="11" customFormat="false" ht="15" hidden="false" customHeight="false" outlineLevel="0" collapsed="false">
      <c r="A11" s="14" t="s">
        <v>162</v>
      </c>
      <c r="B11" s="27" t="n">
        <v>51119</v>
      </c>
      <c r="C11" s="27" t="n">
        <v>54841</v>
      </c>
      <c r="D11" s="27" t="n">
        <v>60622</v>
      </c>
      <c r="E11" s="27" t="n">
        <v>63555</v>
      </c>
      <c r="F11" s="27" t="n">
        <v>68493</v>
      </c>
      <c r="G11" s="27" t="n">
        <v>224890</v>
      </c>
      <c r="H11" s="27" t="n">
        <v>240099</v>
      </c>
      <c r="I11" s="27" t="n">
        <v>255469</v>
      </c>
      <c r="J11" s="27" t="n">
        <v>119699</v>
      </c>
      <c r="K11" s="27" t="n">
        <v>129446</v>
      </c>
      <c r="L11" s="27" t="n">
        <v>141518</v>
      </c>
      <c r="M11" s="27" t="n">
        <v>153015</v>
      </c>
      <c r="N11" s="27" t="n">
        <v>166889</v>
      </c>
      <c r="O11" s="27" t="n">
        <v>182246</v>
      </c>
      <c r="P11" s="27" t="n">
        <v>201143</v>
      </c>
      <c r="Q11" s="27" t="n">
        <v>220733</v>
      </c>
      <c r="R11" s="27" t="n">
        <v>241017</v>
      </c>
      <c r="S11" s="27" t="n">
        <v>263945</v>
      </c>
      <c r="T11" s="27" t="n">
        <v>285669</v>
      </c>
      <c r="U11" s="27" t="n">
        <v>309088</v>
      </c>
      <c r="V11" s="27" t="n">
        <v>333254</v>
      </c>
      <c r="W11" s="27" t="n">
        <v>357164</v>
      </c>
      <c r="X11" s="27" t="n">
        <v>380766</v>
      </c>
      <c r="Y11" s="27" t="n">
        <v>401947</v>
      </c>
      <c r="Z11" s="27" t="n">
        <v>424610</v>
      </c>
      <c r="AA11" s="27" t="n">
        <v>446804</v>
      </c>
      <c r="AB11" s="27" t="n">
        <v>467474</v>
      </c>
      <c r="AC11" s="27" t="n">
        <v>486512</v>
      </c>
      <c r="AD11" s="27" t="n">
        <v>505764</v>
      </c>
      <c r="AE11" s="27" t="n">
        <v>524280</v>
      </c>
      <c r="AF11" s="27" t="n">
        <v>543009</v>
      </c>
      <c r="AG11" s="27" t="n">
        <v>560950</v>
      </c>
      <c r="AH11" s="27" t="n">
        <v>576992</v>
      </c>
      <c r="AI11" s="27" t="n">
        <v>592085</v>
      </c>
      <c r="AJ11" s="27" t="n">
        <v>609183</v>
      </c>
      <c r="AK11" s="27" t="n">
        <v>51119</v>
      </c>
      <c r="AL11" s="27" t="n">
        <v>1562766</v>
      </c>
      <c r="AM11" s="27" t="n">
        <v>3343861</v>
      </c>
      <c r="AN11" s="27" t="n">
        <v>5788782</v>
      </c>
      <c r="AO11" s="27" t="n">
        <v>10695409</v>
      </c>
    </row>
    <row r="13" customFormat="false" ht="15" hidden="false" customHeight="false" outlineLevel="0" collapsed="false">
      <c r="A13" s="4" t="s">
        <v>163</v>
      </c>
      <c r="B13" s="26" t="n">
        <v>26737</v>
      </c>
      <c r="C13" s="26" t="n">
        <v>28653</v>
      </c>
      <c r="D13" s="26" t="n">
        <v>31530</v>
      </c>
      <c r="E13" s="26" t="n">
        <v>33093</v>
      </c>
      <c r="F13" s="26" t="n">
        <v>35589</v>
      </c>
      <c r="G13" s="26" t="n">
        <v>108570</v>
      </c>
      <c r="H13" s="26" t="n">
        <v>113105</v>
      </c>
      <c r="I13" s="26" t="n">
        <v>117335</v>
      </c>
      <c r="J13" s="26" t="n">
        <v>53748</v>
      </c>
      <c r="K13" s="26" t="n">
        <v>57243</v>
      </c>
      <c r="L13" s="26" t="n">
        <v>61706</v>
      </c>
      <c r="M13" s="26" t="n">
        <v>65811</v>
      </c>
      <c r="N13" s="26" t="n">
        <v>70895</v>
      </c>
      <c r="O13" s="26" t="n">
        <v>76531</v>
      </c>
      <c r="P13" s="26" t="n">
        <v>83629</v>
      </c>
      <c r="Q13" s="26" t="n">
        <v>90876</v>
      </c>
      <c r="R13" s="26" t="n">
        <v>98271</v>
      </c>
      <c r="S13" s="26" t="n">
        <v>106637</v>
      </c>
      <c r="T13" s="26" t="n">
        <v>113460</v>
      </c>
      <c r="U13" s="26" t="n">
        <v>120811</v>
      </c>
      <c r="V13" s="26" t="n">
        <v>128252</v>
      </c>
      <c r="W13" s="26" t="n">
        <v>135339</v>
      </c>
      <c r="X13" s="26" t="n">
        <v>142064</v>
      </c>
      <c r="Y13" s="26" t="n">
        <v>147527</v>
      </c>
      <c r="Z13" s="26" t="n">
        <v>153492</v>
      </c>
      <c r="AA13" s="26" t="n">
        <v>159076</v>
      </c>
      <c r="AB13" s="26" t="n">
        <v>163830</v>
      </c>
      <c r="AC13" s="26" t="n">
        <v>167740</v>
      </c>
      <c r="AD13" s="26" t="n">
        <v>171675</v>
      </c>
      <c r="AE13" s="26" t="n">
        <v>175198</v>
      </c>
      <c r="AF13" s="26" t="n">
        <v>178491</v>
      </c>
      <c r="AG13" s="26" t="n">
        <v>181055</v>
      </c>
      <c r="AH13" s="26" t="n">
        <v>182743</v>
      </c>
      <c r="AI13" s="26" t="n">
        <v>183992</v>
      </c>
      <c r="AJ13" s="26" t="n">
        <v>186127</v>
      </c>
      <c r="AK13" s="26" t="n">
        <v>187811</v>
      </c>
      <c r="AL13" s="27" t="n">
        <v>733120</v>
      </c>
      <c r="AM13" s="27" t="n">
        <v>1314292</v>
      </c>
      <c r="AN13" s="27" t="n">
        <v>2091230</v>
      </c>
      <c r="AO13" s="27" t="n">
        <v>4138642</v>
      </c>
    </row>
    <row r="14" customFormat="false" ht="15" hidden="false" customHeight="false" outlineLevel="0" collapsed="false">
      <c r="A14" s="14" t="s">
        <v>164</v>
      </c>
      <c r="B14" s="27" t="n">
        <v>24382</v>
      </c>
      <c r="C14" s="27" t="n">
        <v>26188</v>
      </c>
      <c r="D14" s="27" t="n">
        <v>29092</v>
      </c>
      <c r="E14" s="27" t="n">
        <v>30462</v>
      </c>
      <c r="F14" s="27" t="n">
        <v>32905</v>
      </c>
      <c r="G14" s="27" t="n">
        <v>116320</v>
      </c>
      <c r="H14" s="27" t="n">
        <v>126994</v>
      </c>
      <c r="I14" s="27" t="n">
        <v>138134</v>
      </c>
      <c r="J14" s="27" t="n">
        <v>65951</v>
      </c>
      <c r="K14" s="27" t="n">
        <v>72203</v>
      </c>
      <c r="L14" s="27" t="n">
        <v>79812</v>
      </c>
      <c r="M14" s="27" t="n">
        <v>87203</v>
      </c>
      <c r="N14" s="27" t="n">
        <v>95994</v>
      </c>
      <c r="O14" s="27" t="n">
        <v>105715</v>
      </c>
      <c r="P14" s="27" t="n">
        <v>117514</v>
      </c>
      <c r="Q14" s="27" t="n">
        <v>129857</v>
      </c>
      <c r="R14" s="27" t="n">
        <v>142746</v>
      </c>
      <c r="S14" s="27" t="n">
        <v>157308</v>
      </c>
      <c r="T14" s="27" t="n">
        <v>172209</v>
      </c>
      <c r="U14" s="27" t="n">
        <v>188277</v>
      </c>
      <c r="V14" s="27" t="n">
        <v>205002</v>
      </c>
      <c r="W14" s="27" t="n">
        <v>221826</v>
      </c>
      <c r="X14" s="27" t="n">
        <v>238702</v>
      </c>
      <c r="Y14" s="27" t="n">
        <v>254420</v>
      </c>
      <c r="Z14" s="27" t="n">
        <v>271118</v>
      </c>
      <c r="AA14" s="27" t="n">
        <v>287728</v>
      </c>
      <c r="AB14" s="27" t="n">
        <v>303644</v>
      </c>
      <c r="AC14" s="27" t="n">
        <v>318773</v>
      </c>
      <c r="AD14" s="27" t="n">
        <v>334089</v>
      </c>
      <c r="AE14" s="27" t="n">
        <v>349082</v>
      </c>
      <c r="AF14" s="27" t="n">
        <v>364519</v>
      </c>
      <c r="AG14" s="27" t="n">
        <v>379895</v>
      </c>
      <c r="AH14" s="27" t="n">
        <v>394250</v>
      </c>
      <c r="AI14" s="27" t="n">
        <v>408093</v>
      </c>
      <c r="AJ14" s="27" t="n">
        <v>423056</v>
      </c>
      <c r="AK14" s="27" t="n">
        <v>24382</v>
      </c>
      <c r="AL14" s="27" t="n">
        <v>829646</v>
      </c>
      <c r="AM14" s="27" t="n">
        <v>2029570</v>
      </c>
      <c r="AN14" s="27" t="n">
        <v>3858629</v>
      </c>
      <c r="AO14" s="27" t="n">
        <v>6717845</v>
      </c>
    </row>
    <row r="15" customFormat="false" ht="15" hidden="false" customHeight="false" outlineLevel="0" collapsed="false">
      <c r="A15" s="4" t="s">
        <v>165</v>
      </c>
      <c r="B15" s="28" t="n">
        <v>0.476965511844911</v>
      </c>
      <c r="C15" s="28" t="n">
        <v>0.477525938622563</v>
      </c>
      <c r="D15" s="28" t="n">
        <v>0.479891788459635</v>
      </c>
      <c r="E15" s="28" t="n">
        <v>0.47930139249469</v>
      </c>
      <c r="F15" s="28" t="n">
        <v>0.480414056910925</v>
      </c>
      <c r="G15" s="28" t="n">
        <v>0.517230646093646</v>
      </c>
      <c r="H15" s="28" t="n">
        <v>0.528923485728804</v>
      </c>
      <c r="I15" s="28" t="n">
        <v>0.540707483099711</v>
      </c>
      <c r="J15" s="28" t="n">
        <v>0.550973692344965</v>
      </c>
      <c r="K15" s="28" t="n">
        <v>0.55778471331675</v>
      </c>
      <c r="L15" s="28" t="n">
        <v>0.563970660975989</v>
      </c>
      <c r="M15" s="28" t="n">
        <v>0.569898375976212</v>
      </c>
      <c r="N15" s="28" t="n">
        <v>0.575196687618717</v>
      </c>
      <c r="O15" s="28" t="n">
        <v>0.580067600935</v>
      </c>
      <c r="P15" s="28" t="n">
        <v>0.584231119154035</v>
      </c>
      <c r="Q15" s="28" t="n">
        <v>0.588298985652349</v>
      </c>
      <c r="R15" s="28" t="n">
        <v>0.592265275893402</v>
      </c>
      <c r="S15" s="28" t="n">
        <v>0.595987800488738</v>
      </c>
      <c r="T15" s="28" t="n">
        <v>0.602827048087122</v>
      </c>
      <c r="U15" s="28" t="n">
        <v>0.60913720364427</v>
      </c>
      <c r="V15" s="28" t="n">
        <v>0.615152406272693</v>
      </c>
      <c r="W15" s="28" t="n">
        <v>0.621076032298888</v>
      </c>
      <c r="X15" s="28" t="n">
        <v>0.62689946056108</v>
      </c>
      <c r="Y15" s="28" t="n">
        <v>0.632969023279189</v>
      </c>
      <c r="Z15" s="28" t="n">
        <v>0.638510633287016</v>
      </c>
      <c r="AA15" s="28" t="n">
        <v>0.643969167688741</v>
      </c>
      <c r="AB15" s="28" t="n">
        <v>0.649542006614272</v>
      </c>
      <c r="AC15" s="28" t="n">
        <v>0.655221248396751</v>
      </c>
      <c r="AD15" s="28" t="n">
        <v>0.66056302939711</v>
      </c>
      <c r="AE15" s="28" t="n">
        <v>0.665831235217823</v>
      </c>
      <c r="AF15" s="28" t="n">
        <v>0.671294582594395</v>
      </c>
      <c r="AG15" s="28" t="n">
        <v>0.67723504768696</v>
      </c>
      <c r="AH15" s="28" t="n">
        <v>0.683285036880927</v>
      </c>
      <c r="AI15" s="28" t="n">
        <v>0.689247320908316</v>
      </c>
      <c r="AJ15" s="28" t="n">
        <v>0.694464553344397</v>
      </c>
      <c r="AK15" s="28" t="n">
        <v>0.476965511844911</v>
      </c>
    </row>
    <row r="16" customFormat="false" ht="15" hidden="false" customHeight="false" outlineLevel="0" collapsed="false">
      <c r="A16" s="4" t="s">
        <v>166</v>
      </c>
      <c r="B16" s="26" t="n">
        <v>59303</v>
      </c>
      <c r="C16" s="26" t="n">
        <v>59300</v>
      </c>
      <c r="D16" s="26" t="n">
        <v>59300</v>
      </c>
      <c r="E16" s="26" t="n">
        <v>59300</v>
      </c>
      <c r="F16" s="26" t="n">
        <v>59300</v>
      </c>
      <c r="G16" s="26" t="n">
        <v>59300</v>
      </c>
      <c r="H16" s="26" t="n">
        <v>81500</v>
      </c>
      <c r="I16" s="26" t="n">
        <v>81500</v>
      </c>
      <c r="J16" s="26" t="n">
        <v>81500</v>
      </c>
      <c r="K16" s="26" t="n">
        <v>102400</v>
      </c>
      <c r="L16" s="26" t="n">
        <v>102400</v>
      </c>
      <c r="M16" s="26" t="n">
        <v>102400</v>
      </c>
      <c r="N16" s="26" t="n">
        <v>102400</v>
      </c>
      <c r="O16" s="26" t="n">
        <v>102400</v>
      </c>
      <c r="P16" s="26" t="n">
        <v>110250</v>
      </c>
      <c r="Q16" s="26" t="n">
        <v>110250</v>
      </c>
      <c r="R16" s="26" t="n">
        <v>110250</v>
      </c>
      <c r="S16" s="26" t="n">
        <v>125050</v>
      </c>
      <c r="T16" s="26" t="n">
        <v>125050</v>
      </c>
      <c r="U16" s="26" t="n">
        <v>125050</v>
      </c>
      <c r="V16" s="26" t="n">
        <v>138100</v>
      </c>
      <c r="W16" s="26" t="n">
        <v>138100</v>
      </c>
      <c r="X16" s="26" t="n">
        <v>160300</v>
      </c>
      <c r="Y16" s="26" t="n">
        <v>160300</v>
      </c>
      <c r="Z16" s="26" t="n">
        <v>160300</v>
      </c>
      <c r="AA16" s="26" t="n">
        <v>160300</v>
      </c>
      <c r="AB16" s="26" t="n">
        <v>170100</v>
      </c>
      <c r="AC16" s="26" t="n">
        <v>170100</v>
      </c>
      <c r="AD16" s="26" t="n">
        <v>170100</v>
      </c>
      <c r="AE16" s="26" t="n">
        <v>170100</v>
      </c>
      <c r="AF16" s="26" t="n">
        <v>179250</v>
      </c>
      <c r="AG16" s="26" t="n">
        <v>179250</v>
      </c>
      <c r="AH16" s="26" t="n">
        <v>179250</v>
      </c>
      <c r="AI16" s="26" t="n">
        <v>179250</v>
      </c>
      <c r="AJ16" s="26" t="n">
        <v>179250</v>
      </c>
      <c r="AK16" s="26" t="n">
        <v>198005</v>
      </c>
      <c r="AL16" s="27" t="n">
        <v>907503</v>
      </c>
      <c r="AM16" s="27" t="n">
        <v>1507500</v>
      </c>
      <c r="AN16" s="27" t="n">
        <v>2095255</v>
      </c>
      <c r="AO16" s="27" t="n">
        <v>4510258</v>
      </c>
    </row>
    <row r="17" customFormat="false" ht="15" hidden="false" customHeight="false" outlineLevel="0" collapsed="false">
      <c r="A17" s="14" t="s">
        <v>167</v>
      </c>
      <c r="B17" s="27" t="n">
        <v>-34921</v>
      </c>
      <c r="C17" s="27" t="n">
        <v>-33112</v>
      </c>
      <c r="D17" s="27" t="n">
        <v>-30208</v>
      </c>
      <c r="E17" s="27" t="n">
        <v>-28838</v>
      </c>
      <c r="F17" s="27" t="n">
        <v>-26396</v>
      </c>
      <c r="G17" s="27" t="n">
        <v>57020</v>
      </c>
      <c r="H17" s="27" t="n">
        <v>45494</v>
      </c>
      <c r="I17" s="27" t="n">
        <v>56634</v>
      </c>
      <c r="J17" s="27" t="n">
        <v>-15549</v>
      </c>
      <c r="K17" s="27" t="n">
        <v>-30197</v>
      </c>
      <c r="L17" s="27" t="n">
        <v>-22588</v>
      </c>
      <c r="M17" s="27" t="n">
        <v>-15197</v>
      </c>
      <c r="N17" s="27" t="n">
        <v>-6406</v>
      </c>
      <c r="O17" s="27" t="n">
        <v>3315</v>
      </c>
      <c r="P17" s="27" t="n">
        <v>7264</v>
      </c>
      <c r="Q17" s="27" t="n">
        <v>19607</v>
      </c>
      <c r="R17" s="27" t="n">
        <v>32496</v>
      </c>
      <c r="S17" s="27" t="n">
        <v>32258</v>
      </c>
      <c r="T17" s="27" t="n">
        <v>47159</v>
      </c>
      <c r="U17" s="27" t="n">
        <v>63227</v>
      </c>
      <c r="V17" s="27" t="n">
        <v>66902</v>
      </c>
      <c r="W17" s="27" t="n">
        <v>83726</v>
      </c>
      <c r="X17" s="27" t="n">
        <v>78402</v>
      </c>
      <c r="Y17" s="27" t="n">
        <v>94120</v>
      </c>
      <c r="Z17" s="27" t="n">
        <v>110818</v>
      </c>
      <c r="AA17" s="27" t="n">
        <v>127428</v>
      </c>
      <c r="AB17" s="27" t="n">
        <v>133544</v>
      </c>
      <c r="AC17" s="27" t="n">
        <v>148673</v>
      </c>
      <c r="AD17" s="27" t="n">
        <v>163989</v>
      </c>
      <c r="AE17" s="27" t="n">
        <v>178982</v>
      </c>
      <c r="AF17" s="27" t="n">
        <v>185269</v>
      </c>
      <c r="AG17" s="27" t="n">
        <v>200645</v>
      </c>
      <c r="AH17" s="27" t="n">
        <v>215000</v>
      </c>
      <c r="AI17" s="27" t="n">
        <v>228843</v>
      </c>
      <c r="AJ17" s="27" t="n">
        <v>243806</v>
      </c>
      <c r="AK17" s="27" t="n">
        <v>239356</v>
      </c>
      <c r="AL17" s="27" t="n">
        <v>-77858</v>
      </c>
      <c r="AM17" s="27" t="n">
        <v>522070</v>
      </c>
      <c r="AN17" s="27" t="n">
        <v>2176353</v>
      </c>
      <c r="AO17" s="27" t="n">
        <v>2620565</v>
      </c>
    </row>
    <row r="19" customFormat="false" ht="15" hidden="false" customHeight="false" outlineLevel="0" collapsed="false">
      <c r="A19" s="24" t="s">
        <v>168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customFormat="false" ht="15" hidden="false" customHeight="false" outlineLevel="0" collapsed="false">
      <c r="A20" s="29" t="s">
        <v>169</v>
      </c>
      <c r="B20" s="30" t="n">
        <v>0</v>
      </c>
      <c r="C20" s="30" t="n">
        <v>0</v>
      </c>
      <c r="D20" s="30" t="n">
        <v>0</v>
      </c>
      <c r="E20" s="30" t="n">
        <v>63</v>
      </c>
      <c r="F20" s="30" t="n">
        <v>127</v>
      </c>
      <c r="G20" s="30" t="n">
        <v>190</v>
      </c>
      <c r="H20" s="30" t="n">
        <v>0</v>
      </c>
      <c r="I20" s="30" t="n">
        <v>0</v>
      </c>
      <c r="J20" s="30" t="n">
        <v>0</v>
      </c>
      <c r="K20" s="30" t="n">
        <v>5</v>
      </c>
      <c r="L20" s="30" t="n">
        <v>10</v>
      </c>
      <c r="M20" s="30" t="n">
        <v>15</v>
      </c>
      <c r="N20" s="30" t="n">
        <v>33</v>
      </c>
      <c r="O20" s="30" t="n">
        <v>67</v>
      </c>
      <c r="P20" s="30" t="n">
        <v>100</v>
      </c>
      <c r="Q20" s="30" t="n">
        <v>3</v>
      </c>
      <c r="R20" s="30" t="n">
        <v>6</v>
      </c>
      <c r="S20" s="30" t="n">
        <v>10</v>
      </c>
      <c r="T20" s="30" t="n">
        <v>2</v>
      </c>
      <c r="U20" s="30" t="n">
        <v>4</v>
      </c>
      <c r="V20" s="30" t="n">
        <v>6</v>
      </c>
      <c r="W20" s="30" t="n">
        <v>0</v>
      </c>
      <c r="X20" s="30" t="n">
        <v>0</v>
      </c>
      <c r="Y20" s="30" t="n">
        <v>0</v>
      </c>
      <c r="Z20" s="30" t="n">
        <v>7</v>
      </c>
      <c r="AA20" s="30" t="n">
        <v>13</v>
      </c>
      <c r="AB20" s="30" t="n">
        <v>20</v>
      </c>
      <c r="AC20" s="30" t="n">
        <v>0</v>
      </c>
      <c r="AD20" s="30" t="n">
        <v>0</v>
      </c>
      <c r="AE20" s="30" t="n">
        <v>0</v>
      </c>
      <c r="AF20" s="30" t="n">
        <v>0</v>
      </c>
      <c r="AG20" s="30" t="n">
        <v>0</v>
      </c>
      <c r="AH20" s="30" t="n">
        <v>0</v>
      </c>
      <c r="AI20" s="30" t="n">
        <v>0</v>
      </c>
      <c r="AJ20" s="30" t="n">
        <v>0</v>
      </c>
      <c r="AK20" s="30" t="n">
        <v>0</v>
      </c>
      <c r="AL20" s="27" t="n">
        <v>410</v>
      </c>
      <c r="AM20" s="27" t="n">
        <v>231</v>
      </c>
      <c r="AN20" s="27" t="n">
        <v>40</v>
      </c>
      <c r="AO20" s="27" t="n">
        <v>681</v>
      </c>
    </row>
    <row r="21" customFormat="false" ht="15" hidden="false" customHeight="false" outlineLevel="0" collapsed="false">
      <c r="A21" s="29" t="s">
        <v>170</v>
      </c>
      <c r="B21" s="30" t="n">
        <v>4</v>
      </c>
      <c r="C21" s="30" t="n">
        <v>8</v>
      </c>
      <c r="D21" s="30" t="n">
        <v>12</v>
      </c>
      <c r="E21" s="30" t="n">
        <v>2</v>
      </c>
      <c r="F21" s="30" t="n">
        <v>3</v>
      </c>
      <c r="G21" s="30" t="n">
        <v>5</v>
      </c>
      <c r="H21" s="30" t="n">
        <v>0</v>
      </c>
      <c r="I21" s="30" t="n">
        <v>1</v>
      </c>
      <c r="J21" s="30" t="n">
        <v>1</v>
      </c>
      <c r="K21" s="30" t="n">
        <v>0</v>
      </c>
      <c r="L21" s="30" t="n">
        <v>1</v>
      </c>
      <c r="M21" s="30" t="n">
        <v>2</v>
      </c>
      <c r="N21" s="30" t="n">
        <v>0</v>
      </c>
      <c r="O21" s="30" t="n">
        <v>0</v>
      </c>
      <c r="P21" s="30" t="n">
        <v>0</v>
      </c>
      <c r="Q21" s="30" t="n">
        <v>0</v>
      </c>
      <c r="R21" s="30" t="n">
        <v>1</v>
      </c>
      <c r="S21" s="30" t="n">
        <v>2</v>
      </c>
      <c r="T21" s="30" t="n">
        <v>0</v>
      </c>
      <c r="U21" s="30" t="n">
        <v>1</v>
      </c>
      <c r="V21" s="30" t="n">
        <v>1</v>
      </c>
      <c r="W21" s="30" t="n">
        <v>0</v>
      </c>
      <c r="X21" s="30" t="n">
        <v>0</v>
      </c>
      <c r="Y21" s="30" t="n">
        <v>0</v>
      </c>
      <c r="Z21" s="30" t="n">
        <v>1</v>
      </c>
      <c r="AA21" s="30" t="n">
        <v>1</v>
      </c>
      <c r="AB21" s="30" t="n">
        <v>2</v>
      </c>
      <c r="AC21" s="30" t="n">
        <v>0</v>
      </c>
      <c r="AD21" s="30" t="n">
        <v>0</v>
      </c>
      <c r="AE21" s="30" t="n">
        <v>0</v>
      </c>
      <c r="AF21" s="30" t="n">
        <v>0</v>
      </c>
      <c r="AG21" s="30" t="n">
        <v>0</v>
      </c>
      <c r="AH21" s="30" t="n">
        <v>0</v>
      </c>
      <c r="AI21" s="30" t="n">
        <v>0</v>
      </c>
      <c r="AJ21" s="30" t="n">
        <v>0</v>
      </c>
      <c r="AK21" s="30" t="n">
        <v>0</v>
      </c>
      <c r="AL21" s="27" t="n">
        <v>39</v>
      </c>
      <c r="AM21" s="27" t="n">
        <v>5</v>
      </c>
      <c r="AN21" s="27" t="n">
        <v>4</v>
      </c>
      <c r="AO21" s="27" t="n">
        <v>48</v>
      </c>
    </row>
    <row r="22" customFormat="false" ht="15" hidden="false" customHeight="false" outlineLevel="0" collapsed="false">
      <c r="A22" s="29" t="s">
        <v>171</v>
      </c>
      <c r="B22" s="30" t="n">
        <v>2</v>
      </c>
      <c r="C22" s="30" t="n">
        <v>5</v>
      </c>
      <c r="D22" s="30" t="n">
        <v>8</v>
      </c>
      <c r="E22" s="30" t="n">
        <v>3</v>
      </c>
      <c r="F22" s="30" t="n">
        <v>5</v>
      </c>
      <c r="G22" s="30" t="n">
        <v>9</v>
      </c>
      <c r="H22" s="30" t="n">
        <v>3</v>
      </c>
      <c r="I22" s="30" t="n">
        <v>6</v>
      </c>
      <c r="J22" s="30" t="n">
        <v>9</v>
      </c>
      <c r="K22" s="30" t="n">
        <v>1</v>
      </c>
      <c r="L22" s="30" t="n">
        <v>1</v>
      </c>
      <c r="M22" s="30" t="n">
        <v>2</v>
      </c>
      <c r="N22" s="30" t="n">
        <v>1</v>
      </c>
      <c r="O22" s="30" t="n">
        <v>2</v>
      </c>
      <c r="P22" s="30" t="n">
        <v>3</v>
      </c>
      <c r="Q22" s="30" t="n">
        <v>1</v>
      </c>
      <c r="R22" s="30" t="n">
        <v>1</v>
      </c>
      <c r="S22" s="30" t="n">
        <v>2</v>
      </c>
      <c r="T22" s="30" t="n">
        <v>0</v>
      </c>
      <c r="U22" s="30" t="n">
        <v>1</v>
      </c>
      <c r="V22" s="30" t="n">
        <v>1</v>
      </c>
      <c r="W22" s="30" t="n">
        <v>0</v>
      </c>
      <c r="X22" s="30" t="n">
        <v>0</v>
      </c>
      <c r="Y22" s="30" t="n">
        <v>0</v>
      </c>
      <c r="Z22" s="30" t="n">
        <v>0</v>
      </c>
      <c r="AA22" s="30" t="n">
        <v>0</v>
      </c>
      <c r="AB22" s="30" t="n">
        <v>0</v>
      </c>
      <c r="AC22" s="30" t="n">
        <v>0</v>
      </c>
      <c r="AD22" s="30" t="n">
        <v>0</v>
      </c>
      <c r="AE22" s="30" t="n">
        <v>0</v>
      </c>
      <c r="AF22" s="30" t="n">
        <v>0</v>
      </c>
      <c r="AG22" s="30" t="n">
        <v>0</v>
      </c>
      <c r="AH22" s="30" t="n">
        <v>0</v>
      </c>
      <c r="AI22" s="30" t="n">
        <v>0</v>
      </c>
      <c r="AJ22" s="30" t="n">
        <v>0</v>
      </c>
      <c r="AK22" s="30" t="n">
        <v>0</v>
      </c>
      <c r="AL22" s="27" t="n">
        <v>54</v>
      </c>
      <c r="AM22" s="27" t="n">
        <v>12</v>
      </c>
      <c r="AN22" s="27" t="n">
        <v>0</v>
      </c>
      <c r="AO22" s="27" t="n">
        <v>66</v>
      </c>
    </row>
    <row r="23" customFormat="false" ht="15" hidden="false" customHeight="false" outlineLevel="0" collapsed="false">
      <c r="A23" s="29" t="s">
        <v>172</v>
      </c>
      <c r="B23" s="30" t="n">
        <v>0</v>
      </c>
      <c r="C23" s="30" t="n">
        <v>1</v>
      </c>
      <c r="D23" s="30" t="n">
        <v>1</v>
      </c>
      <c r="E23" s="30" t="n">
        <v>1</v>
      </c>
      <c r="F23" s="30" t="n">
        <v>2</v>
      </c>
      <c r="G23" s="30" t="n">
        <v>2</v>
      </c>
      <c r="H23" s="30" t="n">
        <v>0</v>
      </c>
      <c r="I23" s="30" t="n">
        <v>1</v>
      </c>
      <c r="J23" s="30" t="n">
        <v>1</v>
      </c>
      <c r="K23" s="30" t="n">
        <v>0</v>
      </c>
      <c r="L23" s="30" t="n">
        <v>1</v>
      </c>
      <c r="M23" s="30" t="n">
        <v>1</v>
      </c>
      <c r="N23" s="30" t="n">
        <v>0</v>
      </c>
      <c r="O23" s="30" t="n">
        <v>0</v>
      </c>
      <c r="P23" s="30" t="n">
        <v>0</v>
      </c>
      <c r="Q23" s="30" t="n">
        <v>1</v>
      </c>
      <c r="R23" s="30" t="n">
        <v>1</v>
      </c>
      <c r="S23" s="30" t="n">
        <v>2</v>
      </c>
      <c r="T23" s="30" t="n">
        <v>1</v>
      </c>
      <c r="U23" s="30" t="n">
        <v>1</v>
      </c>
      <c r="V23" s="30" t="n">
        <v>2</v>
      </c>
      <c r="W23" s="30" t="n">
        <v>0</v>
      </c>
      <c r="X23" s="30" t="n">
        <v>0</v>
      </c>
      <c r="Y23" s="30" t="n">
        <v>0</v>
      </c>
      <c r="Z23" s="30" t="n">
        <v>0</v>
      </c>
      <c r="AA23" s="30" t="n">
        <v>0</v>
      </c>
      <c r="AB23" s="30" t="n">
        <v>0</v>
      </c>
      <c r="AC23" s="30" t="n">
        <v>0</v>
      </c>
      <c r="AD23" s="30" t="n">
        <v>0</v>
      </c>
      <c r="AE23" s="30" t="n">
        <v>0</v>
      </c>
      <c r="AF23" s="30" t="n">
        <v>0</v>
      </c>
      <c r="AG23" s="30" t="n">
        <v>0</v>
      </c>
      <c r="AH23" s="30" t="n">
        <v>0</v>
      </c>
      <c r="AI23" s="30" t="n">
        <v>0</v>
      </c>
      <c r="AJ23" s="30" t="n">
        <v>0</v>
      </c>
      <c r="AK23" s="30" t="n">
        <v>0</v>
      </c>
      <c r="AL23" s="27" t="n">
        <v>11</v>
      </c>
      <c r="AM23" s="27" t="n">
        <v>8</v>
      </c>
      <c r="AN23" s="27" t="n">
        <v>0</v>
      </c>
      <c r="AO23" s="27" t="n">
        <v>19</v>
      </c>
    </row>
    <row r="24" customFormat="false" ht="15" hidden="false" customHeight="false" outlineLevel="0" collapsed="false">
      <c r="A24" s="29" t="s">
        <v>173</v>
      </c>
      <c r="B24" s="30" t="n">
        <v>0</v>
      </c>
      <c r="C24" s="30" t="n">
        <v>1</v>
      </c>
      <c r="D24" s="30" t="n">
        <v>2</v>
      </c>
      <c r="E24" s="30" t="n">
        <v>0</v>
      </c>
      <c r="F24" s="30" t="n">
        <v>1</v>
      </c>
      <c r="G24" s="30" t="n">
        <v>2</v>
      </c>
      <c r="H24" s="30" t="n">
        <v>0</v>
      </c>
      <c r="I24" s="30" t="n">
        <v>1</v>
      </c>
      <c r="J24" s="30" t="n">
        <v>2</v>
      </c>
      <c r="K24" s="30" t="n">
        <v>0</v>
      </c>
      <c r="L24" s="30" t="n">
        <v>0</v>
      </c>
      <c r="M24" s="30" t="n">
        <v>0</v>
      </c>
      <c r="N24" s="30" t="n">
        <v>0</v>
      </c>
      <c r="O24" s="30" t="n">
        <v>0</v>
      </c>
      <c r="P24" s="30" t="n">
        <v>0</v>
      </c>
      <c r="Q24" s="30" t="n">
        <v>0</v>
      </c>
      <c r="R24" s="30" t="n">
        <v>0</v>
      </c>
      <c r="S24" s="30" t="n">
        <v>0</v>
      </c>
      <c r="T24" s="30" t="n">
        <v>0</v>
      </c>
      <c r="U24" s="30" t="n">
        <v>0</v>
      </c>
      <c r="V24" s="30" t="n">
        <v>0</v>
      </c>
      <c r="W24" s="30" t="n">
        <v>0</v>
      </c>
      <c r="X24" s="30" t="n">
        <v>0</v>
      </c>
      <c r="Y24" s="30" t="n">
        <v>0</v>
      </c>
      <c r="Z24" s="30" t="n">
        <v>0</v>
      </c>
      <c r="AA24" s="30" t="n">
        <v>0</v>
      </c>
      <c r="AB24" s="30" t="n">
        <v>0</v>
      </c>
      <c r="AC24" s="30" t="n">
        <v>0</v>
      </c>
      <c r="AD24" s="30" t="n">
        <v>0</v>
      </c>
      <c r="AE24" s="30" t="n">
        <v>0</v>
      </c>
      <c r="AF24" s="30" t="n">
        <v>0</v>
      </c>
      <c r="AG24" s="30" t="n">
        <v>0</v>
      </c>
      <c r="AH24" s="30" t="n">
        <v>0</v>
      </c>
      <c r="AI24" s="30" t="n">
        <v>0</v>
      </c>
      <c r="AJ24" s="30" t="n">
        <v>0</v>
      </c>
      <c r="AK24" s="30" t="n">
        <v>0</v>
      </c>
      <c r="AL24" s="27" t="n">
        <v>9</v>
      </c>
      <c r="AM24" s="27" t="n">
        <v>0</v>
      </c>
      <c r="AN24" s="27" t="n">
        <v>0</v>
      </c>
      <c r="AO24" s="27" t="n">
        <v>9</v>
      </c>
    </row>
    <row r="25" customFormat="false" ht="15" hidden="false" customHeight="false" outlineLevel="0" collapsed="false">
      <c r="A25" s="29" t="s">
        <v>174</v>
      </c>
      <c r="B25" s="30" t="n">
        <v>0</v>
      </c>
      <c r="C25" s="30" t="n">
        <v>0</v>
      </c>
      <c r="D25" s="30" t="n">
        <v>1</v>
      </c>
      <c r="E25" s="30" t="n">
        <v>2</v>
      </c>
      <c r="F25" s="30" t="n">
        <v>6</v>
      </c>
      <c r="G25" s="30" t="n">
        <v>10</v>
      </c>
      <c r="H25" s="30" t="n">
        <v>0</v>
      </c>
      <c r="I25" s="30" t="n">
        <v>0</v>
      </c>
      <c r="J25" s="30" t="n">
        <v>1</v>
      </c>
      <c r="K25" s="30" t="n">
        <v>0</v>
      </c>
      <c r="L25" s="30" t="n">
        <v>1</v>
      </c>
      <c r="M25" s="30" t="n">
        <v>1</v>
      </c>
      <c r="N25" s="30" t="n">
        <v>0</v>
      </c>
      <c r="O25" s="30" t="n">
        <v>0</v>
      </c>
      <c r="P25" s="30" t="n">
        <v>1</v>
      </c>
      <c r="Q25" s="30" t="n">
        <v>0</v>
      </c>
      <c r="R25" s="30" t="n">
        <v>0</v>
      </c>
      <c r="S25" s="30" t="n">
        <v>0</v>
      </c>
      <c r="T25" s="30" t="n">
        <v>0</v>
      </c>
      <c r="U25" s="30" t="n">
        <v>0</v>
      </c>
      <c r="V25" s="30" t="n">
        <v>0</v>
      </c>
      <c r="W25" s="30" t="n">
        <v>0</v>
      </c>
      <c r="X25" s="30" t="n">
        <v>0</v>
      </c>
      <c r="Y25" s="30" t="n">
        <v>0</v>
      </c>
      <c r="Z25" s="30" t="n">
        <v>0</v>
      </c>
      <c r="AA25" s="30" t="n">
        <v>0</v>
      </c>
      <c r="AB25" s="30" t="n">
        <v>0</v>
      </c>
      <c r="AC25" s="30" t="n">
        <v>0</v>
      </c>
      <c r="AD25" s="30" t="n">
        <v>0</v>
      </c>
      <c r="AE25" s="30" t="n">
        <v>0</v>
      </c>
      <c r="AF25" s="30" t="n">
        <v>0</v>
      </c>
      <c r="AG25" s="30" t="n">
        <v>0</v>
      </c>
      <c r="AH25" s="30" t="n">
        <v>0</v>
      </c>
      <c r="AI25" s="30" t="n">
        <v>0</v>
      </c>
      <c r="AJ25" s="30" t="n">
        <v>0</v>
      </c>
      <c r="AK25" s="30" t="n">
        <v>0</v>
      </c>
      <c r="AL25" s="27" t="n">
        <v>22</v>
      </c>
      <c r="AM25" s="27" t="n">
        <v>1</v>
      </c>
      <c r="AN25" s="27" t="n">
        <v>0</v>
      </c>
      <c r="AO25" s="27" t="n">
        <v>23</v>
      </c>
    </row>
    <row r="26" customFormat="false" ht="15" hidden="false" customHeight="false" outlineLevel="0" collapsed="false">
      <c r="A26" s="29" t="s">
        <v>175</v>
      </c>
      <c r="B26" s="30" t="n">
        <v>0</v>
      </c>
      <c r="C26" s="30" t="n">
        <v>2</v>
      </c>
      <c r="D26" s="30" t="n">
        <v>3</v>
      </c>
      <c r="E26" s="30" t="n">
        <v>0</v>
      </c>
      <c r="F26" s="30" t="n">
        <v>0</v>
      </c>
      <c r="G26" s="30" t="n">
        <v>0</v>
      </c>
      <c r="H26" s="30" t="n">
        <v>1</v>
      </c>
      <c r="I26" s="30" t="n">
        <v>2</v>
      </c>
      <c r="J26" s="30" t="n">
        <v>3</v>
      </c>
      <c r="K26" s="30" t="n">
        <v>0</v>
      </c>
      <c r="L26" s="30" t="n">
        <v>1</v>
      </c>
      <c r="M26" s="30" t="n">
        <v>1</v>
      </c>
      <c r="N26" s="30" t="n">
        <v>0</v>
      </c>
      <c r="O26" s="30" t="n">
        <v>0</v>
      </c>
      <c r="P26" s="30" t="n">
        <v>0</v>
      </c>
      <c r="Q26" s="30" t="n">
        <v>0</v>
      </c>
      <c r="R26" s="30" t="n">
        <v>1</v>
      </c>
      <c r="S26" s="30" t="n">
        <v>1</v>
      </c>
      <c r="T26" s="30" t="n">
        <v>0</v>
      </c>
      <c r="U26" s="30" t="n">
        <v>0</v>
      </c>
      <c r="V26" s="30" t="n">
        <v>0</v>
      </c>
      <c r="W26" s="30" t="n">
        <v>0</v>
      </c>
      <c r="X26" s="30" t="n">
        <v>0</v>
      </c>
      <c r="Y26" s="30" t="n">
        <v>0</v>
      </c>
      <c r="Z26" s="30" t="n">
        <v>0</v>
      </c>
      <c r="AA26" s="30" t="n">
        <v>0</v>
      </c>
      <c r="AB26" s="30" t="n">
        <v>0</v>
      </c>
      <c r="AC26" s="30" t="n">
        <v>0</v>
      </c>
      <c r="AD26" s="30" t="n">
        <v>0</v>
      </c>
      <c r="AE26" s="30" t="n">
        <v>0</v>
      </c>
      <c r="AF26" s="30" t="n">
        <v>0</v>
      </c>
      <c r="AG26" s="30" t="n">
        <v>0</v>
      </c>
      <c r="AH26" s="30" t="n">
        <v>0</v>
      </c>
      <c r="AI26" s="30" t="n">
        <v>0</v>
      </c>
      <c r="AJ26" s="30" t="n">
        <v>0</v>
      </c>
      <c r="AK26" s="30" t="n">
        <v>0</v>
      </c>
      <c r="AL26" s="27" t="n">
        <v>13</v>
      </c>
      <c r="AM26" s="27" t="n">
        <v>2</v>
      </c>
      <c r="AN26" s="27" t="n">
        <v>0</v>
      </c>
      <c r="AO26" s="27" t="n">
        <v>15</v>
      </c>
    </row>
    <row r="27" customFormat="false" ht="15" hidden="false" customHeight="false" outlineLevel="0" collapsed="false">
      <c r="A27" s="31" t="s">
        <v>176</v>
      </c>
      <c r="B27" s="32" t="n">
        <v>6</v>
      </c>
      <c r="C27" s="32" t="n">
        <v>17</v>
      </c>
      <c r="D27" s="32" t="n">
        <v>27</v>
      </c>
      <c r="E27" s="32" t="n">
        <v>71</v>
      </c>
      <c r="F27" s="32" t="n">
        <v>144</v>
      </c>
      <c r="G27" s="32" t="n">
        <v>218</v>
      </c>
      <c r="H27" s="32" t="n">
        <v>4</v>
      </c>
      <c r="I27" s="32" t="n">
        <v>11</v>
      </c>
      <c r="J27" s="32" t="n">
        <v>17</v>
      </c>
      <c r="K27" s="32" t="n">
        <v>6</v>
      </c>
      <c r="L27" s="32" t="n">
        <v>15</v>
      </c>
      <c r="M27" s="32" t="n">
        <v>22</v>
      </c>
      <c r="N27" s="32" t="n">
        <v>34</v>
      </c>
      <c r="O27" s="32" t="n">
        <v>69</v>
      </c>
      <c r="P27" s="32" t="n">
        <v>104</v>
      </c>
      <c r="Q27" s="32" t="n">
        <v>5</v>
      </c>
      <c r="R27" s="32" t="n">
        <v>10</v>
      </c>
      <c r="S27" s="32" t="n">
        <v>17</v>
      </c>
      <c r="T27" s="32" t="n">
        <v>3</v>
      </c>
      <c r="U27" s="32" t="n">
        <v>7</v>
      </c>
      <c r="V27" s="32" t="n">
        <v>10</v>
      </c>
      <c r="W27" s="32" t="n">
        <v>0</v>
      </c>
      <c r="X27" s="32" t="n">
        <v>0</v>
      </c>
      <c r="Y27" s="32" t="n">
        <v>0</v>
      </c>
      <c r="Z27" s="32" t="n">
        <v>8</v>
      </c>
      <c r="AA27" s="32" t="n">
        <v>14</v>
      </c>
      <c r="AB27" s="32" t="n">
        <v>22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32" t="n">
        <v>0</v>
      </c>
      <c r="AK27" s="32" t="n">
        <v>0</v>
      </c>
      <c r="AL27" s="27" t="n">
        <v>558</v>
      </c>
      <c r="AM27" s="27" t="n">
        <v>259</v>
      </c>
      <c r="AN27" s="27" t="n">
        <v>44</v>
      </c>
      <c r="AO27" s="27" t="n">
        <v>861</v>
      </c>
    </row>
    <row r="28" customFormat="false" ht="15" hidden="false" customHeight="false" outlineLevel="0" collapsed="false">
      <c r="A28" s="14" t="s">
        <v>177</v>
      </c>
      <c r="B28" s="27" t="n">
        <v>6</v>
      </c>
      <c r="C28" s="27" t="n">
        <v>23</v>
      </c>
      <c r="D28" s="27" t="n">
        <v>50</v>
      </c>
      <c r="E28" s="27" t="n">
        <v>121</v>
      </c>
      <c r="F28" s="27" t="n">
        <v>265</v>
      </c>
      <c r="G28" s="27" t="n">
        <v>483</v>
      </c>
      <c r="H28" s="27" t="n">
        <v>487</v>
      </c>
      <c r="I28" s="27" t="n">
        <v>498</v>
      </c>
      <c r="J28" s="27" t="n">
        <v>515</v>
      </c>
      <c r="K28" s="27" t="n">
        <v>521</v>
      </c>
      <c r="L28" s="27" t="n">
        <v>536</v>
      </c>
      <c r="M28" s="27" t="n">
        <v>558</v>
      </c>
      <c r="N28" s="27" t="n">
        <v>592</v>
      </c>
      <c r="O28" s="27" t="n">
        <v>661</v>
      </c>
      <c r="P28" s="27" t="n">
        <v>765</v>
      </c>
      <c r="Q28" s="27" t="n">
        <v>770</v>
      </c>
      <c r="R28" s="27" t="n">
        <v>780</v>
      </c>
      <c r="S28" s="27" t="n">
        <v>797</v>
      </c>
      <c r="T28" s="27" t="n">
        <v>800</v>
      </c>
      <c r="U28" s="27" t="n">
        <v>807</v>
      </c>
      <c r="V28" s="27" t="n">
        <v>817</v>
      </c>
      <c r="W28" s="27" t="n">
        <v>817</v>
      </c>
      <c r="X28" s="27" t="n">
        <v>817</v>
      </c>
      <c r="Y28" s="27" t="n">
        <v>817</v>
      </c>
      <c r="Z28" s="27" t="n">
        <v>825</v>
      </c>
      <c r="AA28" s="27" t="n">
        <v>839</v>
      </c>
      <c r="AB28" s="27" t="n">
        <v>861</v>
      </c>
      <c r="AC28" s="27" t="n">
        <v>861</v>
      </c>
      <c r="AD28" s="27" t="n">
        <v>861</v>
      </c>
      <c r="AE28" s="27" t="n">
        <v>861</v>
      </c>
      <c r="AF28" s="27" t="n">
        <v>861</v>
      </c>
      <c r="AG28" s="27" t="n">
        <v>861</v>
      </c>
      <c r="AH28" s="27" t="n">
        <v>861</v>
      </c>
      <c r="AI28" s="27" t="n">
        <v>861</v>
      </c>
      <c r="AJ28" s="27" t="n">
        <v>861</v>
      </c>
      <c r="AK28" s="27" t="n">
        <v>861</v>
      </c>
      <c r="AL28" s="27" t="n">
        <v>4063</v>
      </c>
      <c r="AM28" s="27" t="n">
        <v>9240</v>
      </c>
      <c r="AN28" s="27" t="n">
        <v>10274</v>
      </c>
      <c r="AO28" s="27" t="n">
        <v>23577</v>
      </c>
    </row>
    <row r="30" customFormat="false" ht="15" hidden="false" customHeight="false" outlineLevel="0" collapsed="false">
      <c r="A30" s="24" t="s">
        <v>178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</row>
    <row r="31" customFormat="false" ht="15" hidden="false" customHeight="false" outlineLevel="0" collapsed="false">
      <c r="A31" s="33" t="s">
        <v>179</v>
      </c>
      <c r="B31" s="34" t="n">
        <v>4794</v>
      </c>
      <c r="C31" s="34" t="n">
        <v>13583</v>
      </c>
      <c r="D31" s="34" t="n">
        <v>21573</v>
      </c>
      <c r="E31" s="34" t="n">
        <v>56729</v>
      </c>
      <c r="F31" s="34" t="n">
        <v>115056</v>
      </c>
      <c r="G31" s="34" t="n">
        <v>174182</v>
      </c>
      <c r="H31" s="34" t="n">
        <v>3196</v>
      </c>
      <c r="I31" s="34" t="n">
        <v>8789</v>
      </c>
      <c r="J31" s="34" t="n">
        <v>13583</v>
      </c>
      <c r="K31" s="34" t="n">
        <v>4794</v>
      </c>
      <c r="L31" s="34" t="n">
        <v>11985</v>
      </c>
      <c r="M31" s="34" t="n">
        <v>17578</v>
      </c>
      <c r="N31" s="34" t="n">
        <v>27166</v>
      </c>
      <c r="O31" s="34" t="n">
        <v>55131</v>
      </c>
      <c r="P31" s="34" t="n">
        <v>83096</v>
      </c>
      <c r="Q31" s="34" t="n">
        <v>3995</v>
      </c>
      <c r="R31" s="34" t="n">
        <v>7990</v>
      </c>
      <c r="S31" s="34" t="n">
        <v>13583</v>
      </c>
      <c r="T31" s="34" t="n">
        <v>2397</v>
      </c>
      <c r="U31" s="34" t="n">
        <v>5593</v>
      </c>
      <c r="V31" s="34" t="n">
        <v>7990</v>
      </c>
      <c r="W31" s="34" t="n">
        <v>0</v>
      </c>
      <c r="X31" s="34" t="n">
        <v>0</v>
      </c>
      <c r="Y31" s="34" t="n">
        <v>0</v>
      </c>
      <c r="Z31" s="34" t="n">
        <v>6392</v>
      </c>
      <c r="AA31" s="34" t="n">
        <v>11186</v>
      </c>
      <c r="AB31" s="34" t="n">
        <v>17578</v>
      </c>
      <c r="AC31" s="34" t="n">
        <v>0</v>
      </c>
      <c r="AD31" s="34" t="n">
        <v>0</v>
      </c>
      <c r="AE31" s="34" t="n">
        <v>0</v>
      </c>
      <c r="AF31" s="34" t="n">
        <v>0</v>
      </c>
      <c r="AG31" s="34" t="n">
        <v>0</v>
      </c>
      <c r="AH31" s="34" t="n">
        <v>0</v>
      </c>
      <c r="AI31" s="34" t="n">
        <v>0</v>
      </c>
      <c r="AJ31" s="34" t="n">
        <v>0</v>
      </c>
      <c r="AK31" s="34" t="n">
        <v>0</v>
      </c>
      <c r="AL31" s="27" t="n">
        <v>445842</v>
      </c>
      <c r="AM31" s="27" t="n">
        <v>206941</v>
      </c>
      <c r="AN31" s="27" t="n">
        <v>35156</v>
      </c>
      <c r="AO31" s="27" t="n">
        <v>687939</v>
      </c>
    </row>
    <row r="32" customFormat="false" ht="15" hidden="false" customHeight="false" outlineLevel="0" collapsed="false">
      <c r="A32" s="33" t="s">
        <v>180</v>
      </c>
      <c r="B32" s="34" t="n">
        <v>300</v>
      </c>
      <c r="C32" s="34" t="n">
        <v>1150</v>
      </c>
      <c r="D32" s="34" t="n">
        <v>2500</v>
      </c>
      <c r="E32" s="34" t="n">
        <v>6050</v>
      </c>
      <c r="F32" s="34" t="n">
        <v>13250</v>
      </c>
      <c r="G32" s="34" t="n">
        <v>24150</v>
      </c>
      <c r="H32" s="34" t="n">
        <v>24350</v>
      </c>
      <c r="I32" s="34" t="n">
        <v>24900</v>
      </c>
      <c r="J32" s="34" t="n">
        <v>25750</v>
      </c>
      <c r="K32" s="34" t="n">
        <v>26050</v>
      </c>
      <c r="L32" s="34" t="n">
        <v>26800</v>
      </c>
      <c r="M32" s="34" t="n">
        <v>27900</v>
      </c>
      <c r="N32" s="34" t="n">
        <v>29600</v>
      </c>
      <c r="O32" s="34" t="n">
        <v>33050</v>
      </c>
      <c r="P32" s="34" t="n">
        <v>38250</v>
      </c>
      <c r="Q32" s="34" t="n">
        <v>38500</v>
      </c>
      <c r="R32" s="34" t="n">
        <v>39000</v>
      </c>
      <c r="S32" s="34" t="n">
        <v>39850</v>
      </c>
      <c r="T32" s="34" t="n">
        <v>40000</v>
      </c>
      <c r="U32" s="34" t="n">
        <v>40350</v>
      </c>
      <c r="V32" s="34" t="n">
        <v>40850</v>
      </c>
      <c r="W32" s="34" t="n">
        <v>40850</v>
      </c>
      <c r="X32" s="34" t="n">
        <v>40850</v>
      </c>
      <c r="Y32" s="34" t="n">
        <v>40850</v>
      </c>
      <c r="Z32" s="34" t="n">
        <v>41250</v>
      </c>
      <c r="AA32" s="34" t="n">
        <v>41950</v>
      </c>
      <c r="AB32" s="34" t="n">
        <v>43050</v>
      </c>
      <c r="AC32" s="34" t="n">
        <v>43050</v>
      </c>
      <c r="AD32" s="34" t="n">
        <v>43050</v>
      </c>
      <c r="AE32" s="34" t="n">
        <v>43050</v>
      </c>
      <c r="AF32" s="34" t="n">
        <v>43050</v>
      </c>
      <c r="AG32" s="34" t="n">
        <v>43050</v>
      </c>
      <c r="AH32" s="34" t="n">
        <v>43050</v>
      </c>
      <c r="AI32" s="34" t="n">
        <v>43050</v>
      </c>
      <c r="AJ32" s="34" t="n">
        <v>43050</v>
      </c>
      <c r="AK32" s="34" t="n">
        <v>43050</v>
      </c>
      <c r="AL32" s="27" t="n">
        <v>203150</v>
      </c>
      <c r="AM32" s="27" t="n">
        <v>462000</v>
      </c>
      <c r="AN32" s="27" t="n">
        <v>513700</v>
      </c>
      <c r="AO32" s="27" t="n">
        <v>1178850</v>
      </c>
    </row>
    <row r="33" customFormat="false" ht="15" hidden="false" customHeight="false" outlineLevel="0" collapsed="false">
      <c r="A33" s="33" t="s">
        <v>181</v>
      </c>
      <c r="B33" s="34" t="n">
        <v>900</v>
      </c>
      <c r="C33" s="34" t="n">
        <v>2550</v>
      </c>
      <c r="D33" s="34" t="n">
        <v>4050</v>
      </c>
      <c r="E33" s="34" t="n">
        <v>10650</v>
      </c>
      <c r="F33" s="34" t="n">
        <v>21600</v>
      </c>
      <c r="G33" s="34" t="n">
        <v>32700</v>
      </c>
      <c r="H33" s="34" t="n">
        <v>600</v>
      </c>
      <c r="I33" s="34" t="n">
        <v>1650</v>
      </c>
      <c r="J33" s="34" t="n">
        <v>2550</v>
      </c>
      <c r="K33" s="34" t="n">
        <v>900</v>
      </c>
      <c r="L33" s="34" t="n">
        <v>2250</v>
      </c>
      <c r="M33" s="34" t="n">
        <v>3300</v>
      </c>
      <c r="N33" s="34" t="n">
        <v>5100</v>
      </c>
      <c r="O33" s="34" t="n">
        <v>10350</v>
      </c>
      <c r="P33" s="34" t="n">
        <v>15600</v>
      </c>
      <c r="Q33" s="34" t="n">
        <v>750</v>
      </c>
      <c r="R33" s="34" t="n">
        <v>1500</v>
      </c>
      <c r="S33" s="34" t="n">
        <v>2550</v>
      </c>
      <c r="T33" s="34" t="n">
        <v>450</v>
      </c>
      <c r="U33" s="34" t="n">
        <v>1050</v>
      </c>
      <c r="V33" s="34" t="n">
        <v>1500</v>
      </c>
      <c r="W33" s="34" t="n">
        <v>0</v>
      </c>
      <c r="X33" s="34" t="n">
        <v>0</v>
      </c>
      <c r="Y33" s="34" t="n">
        <v>0</v>
      </c>
      <c r="Z33" s="34" t="n">
        <v>1200</v>
      </c>
      <c r="AA33" s="34" t="n">
        <v>2100</v>
      </c>
      <c r="AB33" s="34" t="n">
        <v>3300</v>
      </c>
      <c r="AC33" s="34" t="n">
        <v>0</v>
      </c>
      <c r="AD33" s="34" t="n">
        <v>0</v>
      </c>
      <c r="AE33" s="34" t="n">
        <v>0</v>
      </c>
      <c r="AF33" s="34" t="n">
        <v>0</v>
      </c>
      <c r="AG33" s="34" t="n">
        <v>0</v>
      </c>
      <c r="AH33" s="34" t="n">
        <v>0</v>
      </c>
      <c r="AI33" s="34" t="n">
        <v>0</v>
      </c>
      <c r="AJ33" s="34" t="n">
        <v>0</v>
      </c>
      <c r="AK33" s="34" t="n">
        <v>0</v>
      </c>
      <c r="AL33" s="27" t="n">
        <v>83700</v>
      </c>
      <c r="AM33" s="27" t="n">
        <v>38850</v>
      </c>
      <c r="AN33" s="27" t="n">
        <v>6600</v>
      </c>
      <c r="AO33" s="27" t="n">
        <v>129150</v>
      </c>
    </row>
    <row r="34" customFormat="false" ht="15" hidden="false" customHeight="false" outlineLevel="0" collapsed="false">
      <c r="A34" s="33" t="s">
        <v>182</v>
      </c>
      <c r="B34" s="34" t="n">
        <v>20</v>
      </c>
      <c r="C34" s="34" t="n">
        <v>77</v>
      </c>
      <c r="D34" s="34" t="n">
        <v>167</v>
      </c>
      <c r="E34" s="34" t="n">
        <v>403</v>
      </c>
      <c r="F34" s="34" t="n">
        <v>883</v>
      </c>
      <c r="G34" s="34" t="n">
        <v>1610</v>
      </c>
      <c r="H34" s="34" t="n">
        <v>1623</v>
      </c>
      <c r="I34" s="34" t="n">
        <v>1660</v>
      </c>
      <c r="J34" s="34" t="n">
        <v>1717</v>
      </c>
      <c r="K34" s="34" t="n">
        <v>1737</v>
      </c>
      <c r="L34" s="34" t="n">
        <v>1787</v>
      </c>
      <c r="M34" s="34" t="n">
        <v>1860</v>
      </c>
      <c r="N34" s="34" t="n">
        <v>1973</v>
      </c>
      <c r="O34" s="34" t="n">
        <v>2203</v>
      </c>
      <c r="P34" s="34" t="n">
        <v>2550</v>
      </c>
      <c r="Q34" s="34" t="n">
        <v>2567</v>
      </c>
      <c r="R34" s="34" t="n">
        <v>2600</v>
      </c>
      <c r="S34" s="34" t="n">
        <v>2657</v>
      </c>
      <c r="T34" s="34" t="n">
        <v>2667</v>
      </c>
      <c r="U34" s="34" t="n">
        <v>2690</v>
      </c>
      <c r="V34" s="34" t="n">
        <v>2723</v>
      </c>
      <c r="W34" s="34" t="n">
        <v>2723</v>
      </c>
      <c r="X34" s="34" t="n">
        <v>2723</v>
      </c>
      <c r="Y34" s="34" t="n">
        <v>2723</v>
      </c>
      <c r="Z34" s="34" t="n">
        <v>2750</v>
      </c>
      <c r="AA34" s="34" t="n">
        <v>2797</v>
      </c>
      <c r="AB34" s="34" t="n">
        <v>2870</v>
      </c>
      <c r="AC34" s="34" t="n">
        <v>2870</v>
      </c>
      <c r="AD34" s="34" t="n">
        <v>2870</v>
      </c>
      <c r="AE34" s="34" t="n">
        <v>2870</v>
      </c>
      <c r="AF34" s="34" t="n">
        <v>2870</v>
      </c>
      <c r="AG34" s="34" t="n">
        <v>2870</v>
      </c>
      <c r="AH34" s="34" t="n">
        <v>2870</v>
      </c>
      <c r="AI34" s="34" t="n">
        <v>2870</v>
      </c>
      <c r="AJ34" s="34" t="n">
        <v>2870</v>
      </c>
      <c r="AK34" s="34" t="n">
        <v>2870</v>
      </c>
      <c r="AL34" s="27" t="n">
        <v>13543</v>
      </c>
      <c r="AM34" s="27" t="n">
        <v>30800</v>
      </c>
      <c r="AN34" s="27" t="n">
        <v>34247</v>
      </c>
      <c r="AO34" s="27" t="n">
        <v>78590</v>
      </c>
    </row>
    <row r="35" customFormat="false" ht="15" hidden="false" customHeight="false" outlineLevel="0" collapsed="false">
      <c r="A35" s="35" t="s">
        <v>183</v>
      </c>
      <c r="B35" s="36" t="n">
        <v>6014</v>
      </c>
      <c r="C35" s="36" t="n">
        <v>17360</v>
      </c>
      <c r="D35" s="36" t="n">
        <v>28290</v>
      </c>
      <c r="E35" s="36" t="n">
        <v>73832</v>
      </c>
      <c r="F35" s="36" t="n">
        <v>150789</v>
      </c>
      <c r="G35" s="36" t="n">
        <v>232642</v>
      </c>
      <c r="H35" s="36" t="n">
        <v>29769</v>
      </c>
      <c r="I35" s="36" t="n">
        <v>36999</v>
      </c>
      <c r="J35" s="36" t="n">
        <v>43600</v>
      </c>
      <c r="K35" s="36" t="n">
        <v>33481</v>
      </c>
      <c r="L35" s="36" t="n">
        <v>42822</v>
      </c>
      <c r="M35" s="36" t="n">
        <v>50638</v>
      </c>
      <c r="N35" s="36" t="n">
        <v>63839</v>
      </c>
      <c r="O35" s="36" t="n">
        <v>100734</v>
      </c>
      <c r="P35" s="36" t="n">
        <v>139496</v>
      </c>
      <c r="Q35" s="36" t="n">
        <v>45812</v>
      </c>
      <c r="R35" s="36" t="n">
        <v>51090</v>
      </c>
      <c r="S35" s="36" t="n">
        <v>58640</v>
      </c>
      <c r="T35" s="36" t="n">
        <v>45514</v>
      </c>
      <c r="U35" s="36" t="n">
        <v>49683</v>
      </c>
      <c r="V35" s="36" t="n">
        <v>53063</v>
      </c>
      <c r="W35" s="36" t="n">
        <v>43573</v>
      </c>
      <c r="X35" s="36" t="n">
        <v>43573</v>
      </c>
      <c r="Y35" s="36" t="n">
        <v>43573</v>
      </c>
      <c r="Z35" s="36" t="n">
        <v>51592</v>
      </c>
      <c r="AA35" s="36" t="n">
        <v>58033</v>
      </c>
      <c r="AB35" s="36" t="n">
        <v>66798</v>
      </c>
      <c r="AC35" s="36" t="n">
        <v>45920</v>
      </c>
      <c r="AD35" s="36" t="n">
        <v>45920</v>
      </c>
      <c r="AE35" s="36" t="n">
        <v>45920</v>
      </c>
      <c r="AF35" s="36" t="n">
        <v>45920</v>
      </c>
      <c r="AG35" s="36" t="n">
        <v>45920</v>
      </c>
      <c r="AH35" s="36" t="n">
        <v>45920</v>
      </c>
      <c r="AI35" s="36" t="n">
        <v>45920</v>
      </c>
      <c r="AJ35" s="36" t="n">
        <v>45920</v>
      </c>
      <c r="AK35" s="36" t="n">
        <v>45920</v>
      </c>
      <c r="AL35" s="27" t="n">
        <v>746235</v>
      </c>
      <c r="AM35" s="27" t="n">
        <v>738591</v>
      </c>
      <c r="AN35" s="27" t="n">
        <v>589703</v>
      </c>
      <c r="AO35" s="27" t="n">
        <v>2074529</v>
      </c>
    </row>
    <row r="36" customFormat="false" ht="15" hidden="false" customHeight="false" outlineLevel="0" collapsed="false">
      <c r="A36" s="4" t="s">
        <v>184</v>
      </c>
      <c r="B36" s="26" t="n">
        <v>2718</v>
      </c>
      <c r="C36" s="26" t="n">
        <v>7791</v>
      </c>
      <c r="D36" s="26" t="n">
        <v>12576</v>
      </c>
      <c r="E36" s="26" t="n">
        <v>32913</v>
      </c>
      <c r="F36" s="26" t="n">
        <v>67047</v>
      </c>
      <c r="G36" s="26" t="n">
        <v>102729</v>
      </c>
      <c r="H36" s="26" t="n">
        <v>9057</v>
      </c>
      <c r="I36" s="26" t="n">
        <v>12288</v>
      </c>
      <c r="J36" s="26" t="n">
        <v>15171</v>
      </c>
      <c r="K36" s="26" t="n">
        <v>10443</v>
      </c>
      <c r="L36" s="26" t="n">
        <v>14610</v>
      </c>
      <c r="M36" s="26" t="n">
        <v>18006</v>
      </c>
      <c r="N36" s="26" t="n">
        <v>23772</v>
      </c>
      <c r="O36" s="26" t="n">
        <v>40137</v>
      </c>
      <c r="P36" s="26" t="n">
        <v>57027</v>
      </c>
      <c r="Q36" s="26" t="n">
        <v>13740</v>
      </c>
      <c r="R36" s="26" t="n">
        <v>16080</v>
      </c>
      <c r="S36" s="26" t="n">
        <v>19401</v>
      </c>
      <c r="T36" s="26" t="n">
        <v>13314</v>
      </c>
      <c r="U36" s="26" t="n">
        <v>15171</v>
      </c>
      <c r="V36" s="26" t="n">
        <v>16635</v>
      </c>
      <c r="W36" s="26" t="n">
        <v>12255</v>
      </c>
      <c r="X36" s="26" t="n">
        <v>12255</v>
      </c>
      <c r="Y36" s="26" t="n">
        <v>12255</v>
      </c>
      <c r="Z36" s="26" t="n">
        <v>15879</v>
      </c>
      <c r="AA36" s="26" t="n">
        <v>18717</v>
      </c>
      <c r="AB36" s="26" t="n">
        <v>22551</v>
      </c>
      <c r="AC36" s="26" t="n">
        <v>12915</v>
      </c>
      <c r="AD36" s="26" t="n">
        <v>12915</v>
      </c>
      <c r="AE36" s="26" t="n">
        <v>12915</v>
      </c>
      <c r="AF36" s="26" t="n">
        <v>12915</v>
      </c>
      <c r="AG36" s="26" t="n">
        <v>12915</v>
      </c>
      <c r="AH36" s="26" t="n">
        <v>12915</v>
      </c>
      <c r="AI36" s="26" t="n">
        <v>12915</v>
      </c>
      <c r="AJ36" s="26" t="n">
        <v>12915</v>
      </c>
      <c r="AK36" s="26" t="n">
        <v>12915</v>
      </c>
      <c r="AL36" s="27" t="n">
        <v>305349</v>
      </c>
      <c r="AM36" s="27" t="n">
        <v>252042</v>
      </c>
      <c r="AN36" s="27" t="n">
        <v>173382</v>
      </c>
      <c r="AO36" s="27" t="n">
        <v>730773</v>
      </c>
    </row>
    <row r="37" customFormat="false" ht="15" hidden="false" customHeight="false" outlineLevel="0" collapsed="false">
      <c r="A37" s="35" t="s">
        <v>185</v>
      </c>
      <c r="B37" s="36" t="n">
        <v>3296</v>
      </c>
      <c r="C37" s="36" t="n">
        <v>9569</v>
      </c>
      <c r="D37" s="36" t="n">
        <v>15714</v>
      </c>
      <c r="E37" s="36" t="n">
        <v>40919</v>
      </c>
      <c r="F37" s="36" t="n">
        <v>83742</v>
      </c>
      <c r="G37" s="36" t="n">
        <v>129913</v>
      </c>
      <c r="H37" s="36" t="n">
        <v>20712</v>
      </c>
      <c r="I37" s="36" t="n">
        <v>24711</v>
      </c>
      <c r="J37" s="36" t="n">
        <v>28429</v>
      </c>
      <c r="K37" s="36" t="n">
        <v>23038</v>
      </c>
      <c r="L37" s="36" t="n">
        <v>28212</v>
      </c>
      <c r="M37" s="36" t="n">
        <v>32632</v>
      </c>
      <c r="N37" s="36" t="n">
        <v>40067</v>
      </c>
      <c r="O37" s="36" t="n">
        <v>60597</v>
      </c>
      <c r="P37" s="36" t="n">
        <v>82469</v>
      </c>
      <c r="Q37" s="36" t="n">
        <v>32072</v>
      </c>
      <c r="R37" s="36" t="n">
        <v>35010</v>
      </c>
      <c r="S37" s="36" t="n">
        <v>39239</v>
      </c>
      <c r="T37" s="36" t="n">
        <v>32200</v>
      </c>
      <c r="U37" s="36" t="n">
        <v>34512</v>
      </c>
      <c r="V37" s="36" t="n">
        <v>36428</v>
      </c>
      <c r="W37" s="36" t="n">
        <v>31318</v>
      </c>
      <c r="X37" s="36" t="n">
        <v>31318</v>
      </c>
      <c r="Y37" s="36" t="n">
        <v>31318</v>
      </c>
      <c r="Z37" s="36" t="n">
        <v>35713</v>
      </c>
      <c r="AA37" s="36" t="n">
        <v>39316</v>
      </c>
      <c r="AB37" s="36" t="n">
        <v>44247</v>
      </c>
      <c r="AC37" s="36" t="n">
        <v>33005</v>
      </c>
      <c r="AD37" s="36" t="n">
        <v>33005</v>
      </c>
      <c r="AE37" s="36" t="n">
        <v>33005</v>
      </c>
      <c r="AF37" s="36" t="n">
        <v>33005</v>
      </c>
      <c r="AG37" s="36" t="n">
        <v>33005</v>
      </c>
      <c r="AH37" s="36" t="n">
        <v>33005</v>
      </c>
      <c r="AI37" s="36" t="n">
        <v>33005</v>
      </c>
      <c r="AJ37" s="36" t="n">
        <v>33005</v>
      </c>
      <c r="AK37" s="36" t="n">
        <v>33005</v>
      </c>
      <c r="AL37" s="27" t="n">
        <v>440886</v>
      </c>
      <c r="AM37" s="27" t="n">
        <v>486549</v>
      </c>
      <c r="AN37" s="27" t="n">
        <v>416321</v>
      </c>
      <c r="AO37" s="27" t="n">
        <v>1343756</v>
      </c>
    </row>
    <row r="39" customFormat="false" ht="15" hidden="false" customHeight="false" outlineLevel="0" collapsed="false">
      <c r="A39" s="37" t="s">
        <v>186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</row>
    <row r="40" customFormat="false" ht="15" hidden="false" customHeight="false" outlineLevel="0" collapsed="false">
      <c r="A40" s="14" t="s">
        <v>187</v>
      </c>
      <c r="B40" s="27" t="n">
        <v>57133</v>
      </c>
      <c r="C40" s="27" t="n">
        <v>72201</v>
      </c>
      <c r="D40" s="27" t="n">
        <v>88912</v>
      </c>
      <c r="E40" s="27" t="n">
        <v>137387</v>
      </c>
      <c r="F40" s="27" t="n">
        <v>219282</v>
      </c>
      <c r="G40" s="27" t="n">
        <v>457532</v>
      </c>
      <c r="H40" s="27" t="n">
        <v>269868</v>
      </c>
      <c r="I40" s="27" t="n">
        <v>292468</v>
      </c>
      <c r="J40" s="27" t="n">
        <v>163299</v>
      </c>
      <c r="K40" s="27" t="n">
        <v>162927</v>
      </c>
      <c r="L40" s="27" t="n">
        <v>184340</v>
      </c>
      <c r="M40" s="27" t="n">
        <v>203653</v>
      </c>
      <c r="N40" s="27" t="n">
        <v>230728</v>
      </c>
      <c r="O40" s="27" t="n">
        <v>282980</v>
      </c>
      <c r="P40" s="27" t="n">
        <v>340639</v>
      </c>
      <c r="Q40" s="27" t="n">
        <v>266545</v>
      </c>
      <c r="R40" s="27" t="n">
        <v>292107</v>
      </c>
      <c r="S40" s="27" t="n">
        <v>322585</v>
      </c>
      <c r="T40" s="27" t="n">
        <v>331183</v>
      </c>
      <c r="U40" s="27" t="n">
        <v>358771</v>
      </c>
      <c r="V40" s="27" t="n">
        <v>386317</v>
      </c>
      <c r="W40" s="27" t="n">
        <v>400737</v>
      </c>
      <c r="X40" s="27" t="n">
        <v>424339</v>
      </c>
      <c r="Y40" s="27" t="n">
        <v>445520</v>
      </c>
      <c r="Z40" s="27" t="n">
        <v>476202</v>
      </c>
      <c r="AA40" s="27" t="n">
        <v>504837</v>
      </c>
      <c r="AB40" s="27" t="n">
        <v>534272</v>
      </c>
      <c r="AC40" s="27" t="n">
        <v>532432</v>
      </c>
      <c r="AD40" s="27" t="n">
        <v>551684</v>
      </c>
      <c r="AE40" s="27" t="n">
        <v>570200</v>
      </c>
      <c r="AF40" s="27" t="n">
        <v>588929</v>
      </c>
      <c r="AG40" s="27" t="n">
        <v>606870</v>
      </c>
      <c r="AH40" s="27" t="n">
        <v>622912</v>
      </c>
      <c r="AI40" s="27" t="n">
        <v>638005</v>
      </c>
      <c r="AJ40" s="27" t="n">
        <v>655103</v>
      </c>
      <c r="AK40" s="27" t="n">
        <v>97039</v>
      </c>
      <c r="AL40" s="27" t="n">
        <v>2309001</v>
      </c>
      <c r="AM40" s="27" t="n">
        <v>4082452</v>
      </c>
      <c r="AN40" s="27" t="n">
        <v>6378485</v>
      </c>
      <c r="AO40" s="27" t="n">
        <v>12769938</v>
      </c>
    </row>
    <row r="41" customFormat="false" ht="15" hidden="false" customHeight="false" outlineLevel="0" collapsed="false">
      <c r="A41" s="4" t="s">
        <v>188</v>
      </c>
      <c r="B41" s="26" t="n">
        <v>29455</v>
      </c>
      <c r="C41" s="26" t="n">
        <v>36444</v>
      </c>
      <c r="D41" s="26" t="n">
        <v>44106</v>
      </c>
      <c r="E41" s="26" t="n">
        <v>66006</v>
      </c>
      <c r="F41" s="26" t="n">
        <v>102636</v>
      </c>
      <c r="G41" s="26" t="n">
        <v>211299</v>
      </c>
      <c r="H41" s="26" t="n">
        <v>122162</v>
      </c>
      <c r="I41" s="26" t="n">
        <v>129623</v>
      </c>
      <c r="J41" s="26" t="n">
        <v>68919</v>
      </c>
      <c r="K41" s="26" t="n">
        <v>67686</v>
      </c>
      <c r="L41" s="26" t="n">
        <v>76316</v>
      </c>
      <c r="M41" s="26" t="n">
        <v>83817</v>
      </c>
      <c r="N41" s="26" t="n">
        <v>94667</v>
      </c>
      <c r="O41" s="26" t="n">
        <v>116668</v>
      </c>
      <c r="P41" s="26" t="n">
        <v>140656</v>
      </c>
      <c r="Q41" s="26" t="n">
        <v>104616</v>
      </c>
      <c r="R41" s="26" t="n">
        <v>114351</v>
      </c>
      <c r="S41" s="26" t="n">
        <v>126038</v>
      </c>
      <c r="T41" s="26" t="n">
        <v>126774</v>
      </c>
      <c r="U41" s="26" t="n">
        <v>135982</v>
      </c>
      <c r="V41" s="26" t="n">
        <v>144887</v>
      </c>
      <c r="W41" s="26" t="n">
        <v>147594</v>
      </c>
      <c r="X41" s="26" t="n">
        <v>154319</v>
      </c>
      <c r="Y41" s="26" t="n">
        <v>159782</v>
      </c>
      <c r="Z41" s="26" t="n">
        <v>169371</v>
      </c>
      <c r="AA41" s="26" t="n">
        <v>177793</v>
      </c>
      <c r="AB41" s="26" t="n">
        <v>186381</v>
      </c>
      <c r="AC41" s="26" t="n">
        <v>180655</v>
      </c>
      <c r="AD41" s="26" t="n">
        <v>184590</v>
      </c>
      <c r="AE41" s="26" t="n">
        <v>188113</v>
      </c>
      <c r="AF41" s="26" t="n">
        <v>191406</v>
      </c>
      <c r="AG41" s="26" t="n">
        <v>193970</v>
      </c>
      <c r="AH41" s="26" t="n">
        <v>195658</v>
      </c>
      <c r="AI41" s="26" t="n">
        <v>196907</v>
      </c>
      <c r="AJ41" s="26" t="n">
        <v>199042</v>
      </c>
      <c r="AK41" s="26" t="n">
        <v>200726</v>
      </c>
      <c r="AL41" s="27" t="n">
        <v>1038469</v>
      </c>
      <c r="AM41" s="27" t="n">
        <v>1566334</v>
      </c>
      <c r="AN41" s="27" t="n">
        <v>2264612</v>
      </c>
      <c r="AO41" s="27" t="n">
        <v>4869415</v>
      </c>
    </row>
    <row r="42" customFormat="false" ht="15" hidden="false" customHeight="false" outlineLevel="0" collapsed="false">
      <c r="A42" s="14" t="s">
        <v>189</v>
      </c>
      <c r="B42" s="27" t="n">
        <v>27678</v>
      </c>
      <c r="C42" s="27" t="n">
        <v>35757</v>
      </c>
      <c r="D42" s="27" t="n">
        <v>44806</v>
      </c>
      <c r="E42" s="27" t="n">
        <v>71381</v>
      </c>
      <c r="F42" s="27" t="n">
        <v>116646</v>
      </c>
      <c r="G42" s="27" t="n">
        <v>246233</v>
      </c>
      <c r="H42" s="27" t="n">
        <v>147706</v>
      </c>
      <c r="I42" s="27" t="n">
        <v>162845</v>
      </c>
      <c r="J42" s="27" t="n">
        <v>94380</v>
      </c>
      <c r="K42" s="27" t="n">
        <v>95241</v>
      </c>
      <c r="L42" s="27" t="n">
        <v>108024</v>
      </c>
      <c r="M42" s="27" t="n">
        <v>119836</v>
      </c>
      <c r="N42" s="27" t="n">
        <v>136061</v>
      </c>
      <c r="O42" s="27" t="n">
        <v>166312</v>
      </c>
      <c r="P42" s="27" t="n">
        <v>199983</v>
      </c>
      <c r="Q42" s="27" t="n">
        <v>161929</v>
      </c>
      <c r="R42" s="27" t="n">
        <v>177756</v>
      </c>
      <c r="S42" s="27" t="n">
        <v>196547</v>
      </c>
      <c r="T42" s="27" t="n">
        <v>204409</v>
      </c>
      <c r="U42" s="27" t="n">
        <v>222789</v>
      </c>
      <c r="V42" s="27" t="n">
        <v>241430</v>
      </c>
      <c r="W42" s="27" t="n">
        <v>253143</v>
      </c>
      <c r="X42" s="27" t="n">
        <v>270020</v>
      </c>
      <c r="Y42" s="27" t="n">
        <v>285738</v>
      </c>
      <c r="Z42" s="27" t="n">
        <v>306831</v>
      </c>
      <c r="AA42" s="27" t="n">
        <v>327044</v>
      </c>
      <c r="AB42" s="27" t="n">
        <v>347891</v>
      </c>
      <c r="AC42" s="27" t="n">
        <v>351777</v>
      </c>
      <c r="AD42" s="27" t="n">
        <v>367094</v>
      </c>
      <c r="AE42" s="27" t="n">
        <v>382087</v>
      </c>
      <c r="AF42" s="27" t="n">
        <v>397523</v>
      </c>
      <c r="AG42" s="27" t="n">
        <v>412900</v>
      </c>
      <c r="AH42" s="27" t="n">
        <v>427254</v>
      </c>
      <c r="AI42" s="27" t="n">
        <v>441098</v>
      </c>
      <c r="AJ42" s="27" t="n">
        <v>456061</v>
      </c>
      <c r="AK42" s="27" t="n">
        <v>-103687</v>
      </c>
      <c r="AL42" s="27" t="n">
        <v>1270532</v>
      </c>
      <c r="AM42" s="27" t="n">
        <v>2516118</v>
      </c>
      <c r="AN42" s="27" t="n">
        <v>4113873</v>
      </c>
      <c r="AO42" s="27" t="n">
        <v>7900523</v>
      </c>
    </row>
    <row r="43" customFormat="false" ht="15" hidden="false" customHeight="false" outlineLevel="0" collapsed="false">
      <c r="A43" s="4" t="s">
        <v>190</v>
      </c>
      <c r="B43" s="28" t="n">
        <v>0.484448567377873</v>
      </c>
      <c r="C43" s="28" t="n">
        <v>0.49524011781978</v>
      </c>
      <c r="D43" s="28" t="n">
        <v>0.503934616754457</v>
      </c>
      <c r="E43" s="28" t="n">
        <v>0.519562696221389</v>
      </c>
      <c r="F43" s="28" t="n">
        <v>0.531945877992907</v>
      </c>
      <c r="G43" s="28" t="n">
        <v>0.5381765646993</v>
      </c>
      <c r="H43" s="28" t="n">
        <v>0.54732740039896</v>
      </c>
      <c r="I43" s="28" t="n">
        <v>0.556795957164545</v>
      </c>
      <c r="J43" s="28" t="n">
        <v>0.577957362378954</v>
      </c>
      <c r="K43" s="28" t="n">
        <v>0.584561561438684</v>
      </c>
      <c r="L43" s="28" t="n">
        <v>0.58600337420595</v>
      </c>
      <c r="M43" s="28" t="n">
        <v>0.588432284326772</v>
      </c>
      <c r="N43" s="28" t="n">
        <v>0.589703619697046</v>
      </c>
      <c r="O43" s="28" t="n">
        <v>0.587716932036502</v>
      </c>
      <c r="P43" s="28" t="n">
        <v>0.587081925440129</v>
      </c>
      <c r="Q43" s="28" t="n">
        <v>0.607510436024481</v>
      </c>
      <c r="R43" s="28" t="n">
        <v>0.608530435764977</v>
      </c>
      <c r="S43" s="28" t="n">
        <v>0.60928707088785</v>
      </c>
      <c r="T43" s="28" t="n">
        <v>0.617208227483725</v>
      </c>
      <c r="U43" s="28" t="n">
        <v>0.620978284197998</v>
      </c>
      <c r="V43" s="28" t="n">
        <v>0.624953406180756</v>
      </c>
      <c r="W43" s="28" t="n">
        <v>0.631693910890924</v>
      </c>
      <c r="X43" s="28" t="n">
        <v>0.636331143785869</v>
      </c>
      <c r="Y43" s="28" t="n">
        <v>0.641358680973035</v>
      </c>
      <c r="Z43" s="28" t="n">
        <v>0.644329507225925</v>
      </c>
      <c r="AA43" s="28" t="n">
        <v>0.647820747304409</v>
      </c>
      <c r="AB43" s="28" t="n">
        <v>0.651149601701006</v>
      </c>
      <c r="AC43" s="28" t="n">
        <v>0.660698455389609</v>
      </c>
      <c r="AD43" s="28" t="n">
        <v>0.665406283307111</v>
      </c>
      <c r="AE43" s="28" t="n">
        <v>0.670092949842161</v>
      </c>
      <c r="AF43" s="28" t="n">
        <v>0.674993080659978</v>
      </c>
      <c r="AG43" s="28" t="n">
        <v>0.680376357374726</v>
      </c>
      <c r="AH43" s="28" t="n">
        <v>0.685897847529025</v>
      </c>
      <c r="AI43" s="28" t="n">
        <v>0.691370757282466</v>
      </c>
      <c r="AJ43" s="28" t="n">
        <v>0.696166862310202</v>
      </c>
      <c r="AK43" s="28" t="n">
        <v>-1.06850853780439</v>
      </c>
    </row>
    <row r="44" customFormat="false" ht="15" hidden="false" customHeight="false" outlineLevel="0" collapsed="false">
      <c r="A44" s="4" t="s">
        <v>191</v>
      </c>
      <c r="B44" s="26" t="n">
        <v>59303</v>
      </c>
      <c r="C44" s="26" t="n">
        <v>59300</v>
      </c>
      <c r="D44" s="26" t="n">
        <v>59300</v>
      </c>
      <c r="E44" s="26" t="n">
        <v>59300</v>
      </c>
      <c r="F44" s="26" t="n">
        <v>59300</v>
      </c>
      <c r="G44" s="26" t="n">
        <v>59300</v>
      </c>
      <c r="H44" s="26" t="n">
        <v>81500</v>
      </c>
      <c r="I44" s="26" t="n">
        <v>81500</v>
      </c>
      <c r="J44" s="26" t="n">
        <v>81500</v>
      </c>
      <c r="K44" s="26" t="n">
        <v>102400</v>
      </c>
      <c r="L44" s="26" t="n">
        <v>102400</v>
      </c>
      <c r="M44" s="26" t="n">
        <v>102400</v>
      </c>
      <c r="N44" s="26" t="n">
        <v>102400</v>
      </c>
      <c r="O44" s="26" t="n">
        <v>102400</v>
      </c>
      <c r="P44" s="26" t="n">
        <v>110250</v>
      </c>
      <c r="Q44" s="26" t="n">
        <v>110250</v>
      </c>
      <c r="R44" s="26" t="n">
        <v>110250</v>
      </c>
      <c r="S44" s="26" t="n">
        <v>125050</v>
      </c>
      <c r="T44" s="26" t="n">
        <v>125050</v>
      </c>
      <c r="U44" s="26" t="n">
        <v>125050</v>
      </c>
      <c r="V44" s="26" t="n">
        <v>138100</v>
      </c>
      <c r="W44" s="26" t="n">
        <v>138100</v>
      </c>
      <c r="X44" s="26" t="n">
        <v>160300</v>
      </c>
      <c r="Y44" s="26" t="n">
        <v>160300</v>
      </c>
      <c r="Z44" s="26" t="n">
        <v>160300</v>
      </c>
      <c r="AA44" s="26" t="n">
        <v>160300</v>
      </c>
      <c r="AB44" s="26" t="n">
        <v>170100</v>
      </c>
      <c r="AC44" s="26" t="n">
        <v>170100</v>
      </c>
      <c r="AD44" s="26" t="n">
        <v>170100</v>
      </c>
      <c r="AE44" s="26" t="n">
        <v>170100</v>
      </c>
      <c r="AF44" s="26" t="n">
        <v>179250</v>
      </c>
      <c r="AG44" s="26" t="n">
        <v>179250</v>
      </c>
      <c r="AH44" s="26" t="n">
        <v>179250</v>
      </c>
      <c r="AI44" s="26" t="n">
        <v>179250</v>
      </c>
      <c r="AJ44" s="26" t="n">
        <v>179250</v>
      </c>
      <c r="AK44" s="26" t="n">
        <v>198005</v>
      </c>
      <c r="AL44" s="27" t="n">
        <v>907503</v>
      </c>
      <c r="AM44" s="27" t="n">
        <v>1507500</v>
      </c>
      <c r="AN44" s="27" t="n">
        <v>2095255</v>
      </c>
      <c r="AO44" s="27" t="n">
        <v>4510258</v>
      </c>
    </row>
    <row r="45" customFormat="false" ht="15" hidden="false" customHeight="false" outlineLevel="0" collapsed="false">
      <c r="A45" s="39" t="s">
        <v>192</v>
      </c>
      <c r="B45" s="40" t="n">
        <v>-31625</v>
      </c>
      <c r="C45" s="40" t="n">
        <v>-23543</v>
      </c>
      <c r="D45" s="40" t="n">
        <v>-14494</v>
      </c>
      <c r="E45" s="40" t="n">
        <v>12081</v>
      </c>
      <c r="F45" s="40" t="n">
        <v>57346</v>
      </c>
      <c r="G45" s="40" t="n">
        <v>186933</v>
      </c>
      <c r="H45" s="40" t="n">
        <v>66206</v>
      </c>
      <c r="I45" s="40" t="n">
        <v>81345</v>
      </c>
      <c r="J45" s="40" t="n">
        <v>12880</v>
      </c>
      <c r="K45" s="40" t="n">
        <v>-7159</v>
      </c>
      <c r="L45" s="40" t="n">
        <v>5624</v>
      </c>
      <c r="M45" s="40" t="n">
        <v>17436</v>
      </c>
      <c r="N45" s="40" t="n">
        <v>33661</v>
      </c>
      <c r="O45" s="40" t="n">
        <v>63912</v>
      </c>
      <c r="P45" s="40" t="n">
        <v>89733</v>
      </c>
      <c r="Q45" s="40" t="n">
        <v>51679</v>
      </c>
      <c r="R45" s="40" t="n">
        <v>67506</v>
      </c>
      <c r="S45" s="40" t="n">
        <v>71497</v>
      </c>
      <c r="T45" s="40" t="n">
        <v>79359</v>
      </c>
      <c r="U45" s="40" t="n">
        <v>97739</v>
      </c>
      <c r="V45" s="40" t="n">
        <v>103330</v>
      </c>
      <c r="W45" s="40" t="n">
        <v>115043</v>
      </c>
      <c r="X45" s="40" t="n">
        <v>109720</v>
      </c>
      <c r="Y45" s="40" t="n">
        <v>125438</v>
      </c>
      <c r="Z45" s="40" t="n">
        <v>146531</v>
      </c>
      <c r="AA45" s="40" t="n">
        <v>166744</v>
      </c>
      <c r="AB45" s="40" t="n">
        <v>177791</v>
      </c>
      <c r="AC45" s="40" t="n">
        <v>181677</v>
      </c>
      <c r="AD45" s="40" t="n">
        <v>196994</v>
      </c>
      <c r="AE45" s="40" t="n">
        <v>211987</v>
      </c>
      <c r="AF45" s="40" t="n">
        <v>218273</v>
      </c>
      <c r="AG45" s="40" t="n">
        <v>233650</v>
      </c>
      <c r="AH45" s="40" t="n">
        <v>248004</v>
      </c>
      <c r="AI45" s="40" t="n">
        <v>261848</v>
      </c>
      <c r="AJ45" s="40" t="n">
        <v>276811</v>
      </c>
      <c r="AK45" s="40" t="n">
        <v>-301692</v>
      </c>
      <c r="AL45" s="27" t="n">
        <v>363029</v>
      </c>
      <c r="AM45" s="27" t="n">
        <v>1008618</v>
      </c>
      <c r="AN45" s="27" t="n">
        <v>2018618</v>
      </c>
      <c r="AO45" s="27" t="n">
        <v>3390265</v>
      </c>
    </row>
    <row r="46" customFormat="false" ht="15" hidden="false" customHeight="false" outlineLevel="0" collapsed="false">
      <c r="A46" s="4" t="s">
        <v>193</v>
      </c>
      <c r="B46" s="28" t="n">
        <v>-0.553532984439816</v>
      </c>
      <c r="C46" s="28" t="n">
        <v>-0.326081938301585</v>
      </c>
      <c r="D46" s="28" t="n">
        <v>-0.163019476259209</v>
      </c>
      <c r="E46" s="28" t="n">
        <v>0.0879362968929691</v>
      </c>
      <c r="F46" s="28" t="n">
        <v>0.261518255764638</v>
      </c>
      <c r="G46" s="28" t="n">
        <v>0.408568143867533</v>
      </c>
      <c r="H46" s="28" t="n">
        <v>0.245328277369828</v>
      </c>
      <c r="I46" s="28" t="n">
        <v>0.278132992327366</v>
      </c>
      <c r="J46" s="28" t="n">
        <v>0.0788718421869131</v>
      </c>
      <c r="K46" s="28" t="n">
        <v>-0.0439420598224151</v>
      </c>
      <c r="L46" s="28" t="n">
        <v>0.0305070892681806</v>
      </c>
      <c r="M46" s="28" t="n">
        <v>0.0856162197463332</v>
      </c>
      <c r="N46" s="28" t="n">
        <v>0.145891633017185</v>
      </c>
      <c r="O46" s="28" t="n">
        <v>0.225854329099431</v>
      </c>
      <c r="P46" s="28" t="n">
        <v>0.263425503245371</v>
      </c>
      <c r="Q46" s="28" t="n">
        <v>0.193883701793571</v>
      </c>
      <c r="R46" s="28" t="n">
        <v>0.231100247512042</v>
      </c>
      <c r="S46" s="28" t="n">
        <v>0.221636903593269</v>
      </c>
      <c r="T46" s="28" t="n">
        <v>0.239622041411185</v>
      </c>
      <c r="U46" s="28" t="n">
        <v>0.272427258613433</v>
      </c>
      <c r="V46" s="28" t="n">
        <v>0.267475270761861</v>
      </c>
      <c r="W46" s="28" t="n">
        <v>0.287079150765422</v>
      </c>
      <c r="X46" s="28" t="n">
        <v>0.25856743581002</v>
      </c>
      <c r="Y46" s="28" t="n">
        <v>0.281554676516822</v>
      </c>
      <c r="Z46" s="28" t="n">
        <v>0.307707653474786</v>
      </c>
      <c r="AA46" s="28" t="n">
        <v>0.33029230576226</v>
      </c>
      <c r="AB46" s="28" t="n">
        <v>0.332772445495927</v>
      </c>
      <c r="AC46" s="28" t="n">
        <v>0.341221038555158</v>
      </c>
      <c r="AD46" s="28" t="n">
        <v>0.357077602395574</v>
      </c>
      <c r="AE46" s="28" t="n">
        <v>0.371776569624693</v>
      </c>
      <c r="AF46" s="28" t="n">
        <v>0.370627019555838</v>
      </c>
      <c r="AG46" s="28" t="n">
        <v>0.385008321386788</v>
      </c>
      <c r="AH46" s="28" t="n">
        <v>0.398136494400493</v>
      </c>
      <c r="AI46" s="28" t="n">
        <v>0.41041684626296</v>
      </c>
      <c r="AJ46" s="28" t="n">
        <v>0.422545767612116</v>
      </c>
      <c r="AK46" s="28" t="n">
        <v>-3.10897680314101</v>
      </c>
    </row>
    <row r="48" customFormat="false" ht="15" hidden="false" customHeight="false" outlineLevel="0" collapsed="false">
      <c r="A48" s="24" t="s">
        <v>194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</row>
    <row r="49" customFormat="false" ht="15" hidden="false" customHeight="false" outlineLevel="0" collapsed="false">
      <c r="A49" s="35" t="s">
        <v>195</v>
      </c>
      <c r="B49" s="36" t="n">
        <v>6014</v>
      </c>
      <c r="C49" s="36" t="n">
        <v>17360</v>
      </c>
      <c r="D49" s="36" t="n">
        <v>28290</v>
      </c>
      <c r="E49" s="36" t="n">
        <v>73832</v>
      </c>
      <c r="F49" s="36" t="n">
        <v>150789</v>
      </c>
      <c r="G49" s="36" t="n">
        <v>232642</v>
      </c>
      <c r="H49" s="36" t="n">
        <v>29769</v>
      </c>
      <c r="I49" s="36" t="n">
        <v>36999</v>
      </c>
      <c r="J49" s="36" t="n">
        <v>43600</v>
      </c>
      <c r="K49" s="36" t="n">
        <v>33481</v>
      </c>
      <c r="L49" s="36" t="n">
        <v>42822</v>
      </c>
      <c r="M49" s="36" t="n">
        <v>50638</v>
      </c>
      <c r="N49" s="36" t="n">
        <v>63839</v>
      </c>
      <c r="O49" s="36" t="n">
        <v>100734</v>
      </c>
      <c r="P49" s="36" t="n">
        <v>139496</v>
      </c>
      <c r="Q49" s="36" t="n">
        <v>45812</v>
      </c>
      <c r="R49" s="36" t="n">
        <v>51090</v>
      </c>
      <c r="S49" s="36" t="n">
        <v>58640</v>
      </c>
      <c r="T49" s="36" t="n">
        <v>45514</v>
      </c>
      <c r="U49" s="36" t="n">
        <v>49683</v>
      </c>
      <c r="V49" s="36" t="n">
        <v>53063</v>
      </c>
      <c r="W49" s="36" t="n">
        <v>43573</v>
      </c>
      <c r="X49" s="36" t="n">
        <v>43573</v>
      </c>
      <c r="Y49" s="36" t="n">
        <v>43573</v>
      </c>
      <c r="Z49" s="36" t="n">
        <v>51592</v>
      </c>
      <c r="AA49" s="36" t="n">
        <v>58033</v>
      </c>
      <c r="AB49" s="36" t="n">
        <v>66798</v>
      </c>
      <c r="AC49" s="36" t="n">
        <v>45920</v>
      </c>
      <c r="AD49" s="36" t="n">
        <v>45920</v>
      </c>
      <c r="AE49" s="36" t="n">
        <v>45920</v>
      </c>
      <c r="AF49" s="36" t="n">
        <v>45920</v>
      </c>
      <c r="AG49" s="36" t="n">
        <v>45920</v>
      </c>
      <c r="AH49" s="36" t="n">
        <v>45920</v>
      </c>
      <c r="AI49" s="36" t="n">
        <v>45920</v>
      </c>
      <c r="AJ49" s="36" t="n">
        <v>45920</v>
      </c>
      <c r="AK49" s="36" t="n">
        <v>45920</v>
      </c>
      <c r="AL49" s="27" t="n">
        <v>746235</v>
      </c>
      <c r="AM49" s="27" t="n">
        <v>738591</v>
      </c>
      <c r="AN49" s="27" t="n">
        <v>589703</v>
      </c>
      <c r="AO49" s="27" t="n">
        <v>2074529</v>
      </c>
    </row>
    <row r="50" customFormat="false" ht="15" hidden="false" customHeight="false" outlineLevel="0" collapsed="false">
      <c r="A50" s="35" t="s">
        <v>196</v>
      </c>
      <c r="B50" s="36" t="n">
        <v>3296</v>
      </c>
      <c r="C50" s="36" t="n">
        <v>9569</v>
      </c>
      <c r="D50" s="36" t="n">
        <v>15714</v>
      </c>
      <c r="E50" s="36" t="n">
        <v>40919</v>
      </c>
      <c r="F50" s="36" t="n">
        <v>83742</v>
      </c>
      <c r="G50" s="36" t="n">
        <v>129913</v>
      </c>
      <c r="H50" s="36" t="n">
        <v>20712</v>
      </c>
      <c r="I50" s="36" t="n">
        <v>24711</v>
      </c>
      <c r="J50" s="36" t="n">
        <v>28429</v>
      </c>
      <c r="K50" s="36" t="n">
        <v>23038</v>
      </c>
      <c r="L50" s="36" t="n">
        <v>28212</v>
      </c>
      <c r="M50" s="36" t="n">
        <v>32633</v>
      </c>
      <c r="N50" s="36" t="n">
        <v>40067</v>
      </c>
      <c r="O50" s="36" t="n">
        <v>60597</v>
      </c>
      <c r="P50" s="36" t="n">
        <v>82469</v>
      </c>
      <c r="Q50" s="36" t="n">
        <v>32072</v>
      </c>
      <c r="R50" s="36" t="n">
        <v>35010</v>
      </c>
      <c r="S50" s="36" t="n">
        <v>39239</v>
      </c>
      <c r="T50" s="36" t="n">
        <v>32200</v>
      </c>
      <c r="U50" s="36" t="n">
        <v>34512</v>
      </c>
      <c r="V50" s="36" t="n">
        <v>36428</v>
      </c>
      <c r="W50" s="36" t="n">
        <v>31317</v>
      </c>
      <c r="X50" s="36" t="n">
        <v>31318</v>
      </c>
      <c r="Y50" s="36" t="n">
        <v>31318</v>
      </c>
      <c r="Z50" s="36" t="n">
        <v>35713</v>
      </c>
      <c r="AA50" s="36" t="n">
        <v>39316</v>
      </c>
      <c r="AB50" s="36" t="n">
        <v>44247</v>
      </c>
      <c r="AC50" s="36" t="n">
        <v>33004</v>
      </c>
      <c r="AD50" s="36" t="n">
        <v>33005</v>
      </c>
      <c r="AE50" s="36" t="n">
        <v>33005</v>
      </c>
      <c r="AF50" s="36" t="n">
        <v>33004</v>
      </c>
      <c r="AG50" s="36" t="n">
        <v>33005</v>
      </c>
      <c r="AH50" s="36" t="n">
        <v>33004</v>
      </c>
      <c r="AI50" s="36" t="n">
        <v>33005</v>
      </c>
      <c r="AJ50" s="36" t="n">
        <v>33005</v>
      </c>
      <c r="AK50" s="36" t="n">
        <v>-541048</v>
      </c>
      <c r="AL50" s="27" t="n">
        <v>440887</v>
      </c>
      <c r="AM50" s="27" t="n">
        <v>486548</v>
      </c>
      <c r="AN50" s="27" t="n">
        <v>-157735</v>
      </c>
      <c r="AO50" s="27" t="n">
        <v>769700</v>
      </c>
    </row>
    <row r="51" customFormat="false" ht="15" hidden="false" customHeight="false" outlineLevel="0" collapsed="false">
      <c r="A51" s="4" t="s">
        <v>197</v>
      </c>
      <c r="B51" s="28" t="n">
        <v>0.117647058823529</v>
      </c>
      <c r="C51" s="28" t="n">
        <v>0.316545407025158</v>
      </c>
      <c r="D51" s="28" t="n">
        <v>0.466656769269682</v>
      </c>
      <c r="E51" s="28" t="n">
        <v>1.1617077072352</v>
      </c>
      <c r="F51" s="28" t="n">
        <v>2.20152911003071</v>
      </c>
      <c r="G51" s="28" t="n">
        <v>1.03447018542399</v>
      </c>
      <c r="H51" s="28" t="n">
        <v>0.123987743944512</v>
      </c>
      <c r="I51" s="28" t="n">
        <v>0.144827748180797</v>
      </c>
      <c r="J51" s="28" t="n">
        <v>0.364244201427469</v>
      </c>
      <c r="K51" s="28" t="n">
        <v>0.258645818848529</v>
      </c>
      <c r="L51" s="28" t="n">
        <v>0.302588127776443</v>
      </c>
      <c r="M51" s="28" t="n">
        <v>0.330934875665784</v>
      </c>
      <c r="N51" s="28" t="n">
        <v>0.382525710701924</v>
      </c>
      <c r="O51" s="28" t="n">
        <v>0.552738240254016</v>
      </c>
      <c r="P51" s="28" t="n">
        <v>0.693516552900175</v>
      </c>
      <c r="Q51" s="28" t="n">
        <v>0.207543351771899</v>
      </c>
      <c r="R51" s="28" t="n">
        <v>0.211976748528112</v>
      </c>
      <c r="S51" s="28" t="n">
        <v>0.222166234127059</v>
      </c>
      <c r="T51" s="28" t="n">
        <v>0.159323086042471</v>
      </c>
      <c r="U51" s="28" t="n">
        <v>0.160740630500052</v>
      </c>
      <c r="V51" s="28" t="n">
        <v>0.159227896239305</v>
      </c>
      <c r="W51" s="28" t="n">
        <v>0.12199811104516</v>
      </c>
      <c r="X51" s="28" t="n">
        <v>0.114435987807035</v>
      </c>
      <c r="Y51" s="28" t="n">
        <v>0.108405668740738</v>
      </c>
      <c r="Z51" s="28" t="n">
        <v>0.121504439367891</v>
      </c>
      <c r="AA51" s="28" t="n">
        <v>0.129883946129996</v>
      </c>
      <c r="AB51" s="28" t="n">
        <v>0.142891369359579</v>
      </c>
      <c r="AC51" s="28" t="n">
        <v>0.09438616108133</v>
      </c>
      <c r="AD51" s="28" t="n">
        <v>0.0907933344405691</v>
      </c>
      <c r="AE51" s="28" t="n">
        <v>0.0875867856870375</v>
      </c>
      <c r="AF51" s="28" t="n">
        <v>0.0845658175094704</v>
      </c>
      <c r="AG51" s="28" t="n">
        <v>0.0818611284428202</v>
      </c>
      <c r="AH51" s="28" t="n">
        <v>0.0795851588930176</v>
      </c>
      <c r="AI51" s="28" t="n">
        <v>0.0775564319312261</v>
      </c>
      <c r="AJ51" s="28" t="n">
        <v>0.0753796478233963</v>
      </c>
      <c r="AK51" s="28" t="n">
        <v>0.898296132553454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198</v>
      </c>
    </row>
    <row r="3" customFormat="false" ht="15" hidden="false" customHeight="false" outlineLevel="0" collapsed="false">
      <c r="A3" s="41"/>
      <c r="B3" s="22" t="s">
        <v>154</v>
      </c>
      <c r="C3" s="22" t="s">
        <v>155</v>
      </c>
      <c r="D3" s="22" t="s">
        <v>156</v>
      </c>
      <c r="E3" s="22" t="s">
        <v>199</v>
      </c>
    </row>
    <row r="4" customFormat="false" ht="15" hidden="false" customHeight="false" outlineLevel="0" collapsed="false">
      <c r="A4" s="24" t="s">
        <v>200</v>
      </c>
      <c r="B4" s="25"/>
      <c r="C4" s="25"/>
      <c r="D4" s="25"/>
      <c r="E4" s="25"/>
    </row>
    <row r="5" customFormat="false" ht="15" hidden="false" customHeight="false" outlineLevel="0" collapsed="false">
      <c r="A5" s="42" t="s">
        <v>201</v>
      </c>
      <c r="B5" s="43" t="n">
        <v>1562766</v>
      </c>
      <c r="C5" s="43" t="n">
        <v>3343861</v>
      </c>
      <c r="D5" s="43" t="n">
        <v>5788782</v>
      </c>
      <c r="E5" s="43" t="n">
        <v>10695409</v>
      </c>
    </row>
    <row r="6" customFormat="false" ht="15" hidden="false" customHeight="false" outlineLevel="0" collapsed="false">
      <c r="A6" s="42" t="s">
        <v>202</v>
      </c>
      <c r="B6" s="43" t="n">
        <v>733120</v>
      </c>
      <c r="C6" s="43" t="n">
        <v>1314292</v>
      </c>
      <c r="D6" s="43" t="n">
        <v>2091230</v>
      </c>
      <c r="E6" s="43" t="n">
        <v>4138642</v>
      </c>
    </row>
    <row r="7" customFormat="false" ht="15" hidden="false" customHeight="false" outlineLevel="0" collapsed="false">
      <c r="A7" s="44" t="s">
        <v>164</v>
      </c>
      <c r="B7" s="45" t="n">
        <v>829646</v>
      </c>
      <c r="C7" s="45" t="n">
        <v>2029570</v>
      </c>
      <c r="D7" s="45" t="n">
        <v>3858629</v>
      </c>
      <c r="E7" s="45" t="n">
        <v>6717845</v>
      </c>
    </row>
    <row r="8" customFormat="false" ht="15" hidden="false" customHeight="false" outlineLevel="0" collapsed="false">
      <c r="A8" s="42" t="s">
        <v>203</v>
      </c>
      <c r="B8" s="43" t="n">
        <v>907503</v>
      </c>
      <c r="C8" s="43" t="n">
        <v>1507500</v>
      </c>
      <c r="D8" s="43" t="n">
        <v>2095255</v>
      </c>
      <c r="E8" s="43" t="n">
        <v>4510258</v>
      </c>
    </row>
    <row r="9" customFormat="false" ht="15" hidden="false" customHeight="false" outlineLevel="0" collapsed="false">
      <c r="A9" s="44" t="s">
        <v>167</v>
      </c>
      <c r="B9" s="45" t="n">
        <v>-77858</v>
      </c>
      <c r="C9" s="45" t="n">
        <v>522070</v>
      </c>
      <c r="D9" s="45" t="n">
        <v>2176353</v>
      </c>
      <c r="E9" s="45" t="n">
        <v>2620565</v>
      </c>
    </row>
    <row r="10" customFormat="false" ht="15" hidden="false" customHeight="false" outlineLevel="0" collapsed="false">
      <c r="A10" s="42" t="s">
        <v>204</v>
      </c>
      <c r="B10" s="46" t="n">
        <v>1237</v>
      </c>
      <c r="C10" s="46" t="n">
        <v>2054</v>
      </c>
      <c r="D10" s="46" t="n">
        <v>3330</v>
      </c>
      <c r="E10" s="46" t="n">
        <v>6621</v>
      </c>
    </row>
    <row r="12" customFormat="false" ht="15" hidden="false" customHeight="false" outlineLevel="0" collapsed="false">
      <c r="A12" s="24" t="s">
        <v>205</v>
      </c>
      <c r="B12" s="25"/>
      <c r="C12" s="25"/>
      <c r="D12" s="25"/>
      <c r="E12" s="25"/>
    </row>
    <row r="13" customFormat="false" ht="15" hidden="false" customHeight="false" outlineLevel="0" collapsed="false">
      <c r="A13" s="29" t="s">
        <v>206</v>
      </c>
      <c r="B13" s="30" t="n">
        <v>558</v>
      </c>
      <c r="C13" s="30" t="n">
        <v>259</v>
      </c>
      <c r="D13" s="30" t="n">
        <v>44</v>
      </c>
      <c r="E13" s="30" t="n">
        <v>861</v>
      </c>
    </row>
    <row r="14" customFormat="false" ht="15" hidden="false" customHeight="false" outlineLevel="0" collapsed="false">
      <c r="A14" s="33" t="s">
        <v>207</v>
      </c>
      <c r="B14" s="47" t="n">
        <v>746235</v>
      </c>
      <c r="C14" s="47" t="n">
        <v>738591</v>
      </c>
      <c r="D14" s="47" t="n">
        <v>589703</v>
      </c>
      <c r="E14" s="47" t="n">
        <v>2074529</v>
      </c>
    </row>
    <row r="15" customFormat="false" ht="15" hidden="false" customHeight="false" outlineLevel="0" collapsed="false">
      <c r="A15" s="42" t="s">
        <v>184</v>
      </c>
      <c r="B15" s="43" t="n">
        <v>305349</v>
      </c>
      <c r="C15" s="43" t="n">
        <v>252042</v>
      </c>
      <c r="D15" s="43" t="n">
        <v>173382</v>
      </c>
      <c r="E15" s="43" t="n">
        <v>730773</v>
      </c>
    </row>
    <row r="16" customFormat="false" ht="15" hidden="false" customHeight="false" outlineLevel="0" collapsed="false">
      <c r="A16" s="35" t="s">
        <v>185</v>
      </c>
      <c r="B16" s="48" t="n">
        <v>440886</v>
      </c>
      <c r="C16" s="48" t="n">
        <v>486549</v>
      </c>
      <c r="D16" s="48" t="n">
        <v>416321</v>
      </c>
      <c r="E16" s="48" t="n">
        <v>1343756</v>
      </c>
    </row>
    <row r="18" customFormat="false" ht="15" hidden="false" customHeight="false" outlineLevel="0" collapsed="false">
      <c r="A18" s="37" t="s">
        <v>208</v>
      </c>
      <c r="B18" s="38"/>
      <c r="C18" s="38"/>
      <c r="D18" s="38"/>
      <c r="E18" s="38"/>
    </row>
    <row r="19" customFormat="false" ht="15" hidden="false" customHeight="false" outlineLevel="0" collapsed="false">
      <c r="A19" s="44" t="s">
        <v>209</v>
      </c>
      <c r="B19" s="49" t="n">
        <v>1795</v>
      </c>
      <c r="C19" s="49" t="n">
        <v>2313</v>
      </c>
      <c r="D19" s="49" t="n">
        <v>3374</v>
      </c>
      <c r="E19" s="49" t="n">
        <v>7482</v>
      </c>
    </row>
    <row r="20" customFormat="false" ht="15" hidden="false" customHeight="false" outlineLevel="0" collapsed="false">
      <c r="A20" s="44" t="s">
        <v>210</v>
      </c>
      <c r="B20" s="45" t="n">
        <v>2309001</v>
      </c>
      <c r="C20" s="45" t="n">
        <v>4082452</v>
      </c>
      <c r="D20" s="45" t="n">
        <v>6378485</v>
      </c>
      <c r="E20" s="45" t="n">
        <v>12769938</v>
      </c>
    </row>
    <row r="21" customFormat="false" ht="15" hidden="false" customHeight="false" outlineLevel="0" collapsed="false">
      <c r="A21" s="42" t="s">
        <v>211</v>
      </c>
      <c r="B21" s="43" t="n">
        <v>1038469</v>
      </c>
      <c r="C21" s="43" t="n">
        <v>1566334</v>
      </c>
      <c r="D21" s="43" t="n">
        <v>2264612</v>
      </c>
      <c r="E21" s="43" t="n">
        <v>4869415</v>
      </c>
    </row>
    <row r="22" customFormat="false" ht="15" hidden="false" customHeight="false" outlineLevel="0" collapsed="false">
      <c r="A22" s="44" t="s">
        <v>189</v>
      </c>
      <c r="B22" s="45" t="n">
        <v>1270532</v>
      </c>
      <c r="C22" s="45" t="n">
        <v>2516118</v>
      </c>
      <c r="D22" s="45" t="n">
        <v>4113873</v>
      </c>
      <c r="E22" s="45" t="n">
        <v>7900523</v>
      </c>
    </row>
    <row r="23" customFormat="false" ht="15" hidden="false" customHeight="false" outlineLevel="0" collapsed="false">
      <c r="A23" s="42" t="s">
        <v>212</v>
      </c>
      <c r="B23" s="43" t="n">
        <v>907503</v>
      </c>
      <c r="C23" s="43" t="n">
        <v>1507500</v>
      </c>
      <c r="D23" s="43" t="n">
        <v>2095255</v>
      </c>
      <c r="E23" s="43" t="n">
        <v>4510258</v>
      </c>
    </row>
    <row r="24" customFormat="false" ht="15" hidden="false" customHeight="false" outlineLevel="0" collapsed="false">
      <c r="A24" s="50" t="s">
        <v>192</v>
      </c>
      <c r="B24" s="51" t="n">
        <v>363029</v>
      </c>
      <c r="C24" s="51" t="n">
        <v>1008618</v>
      </c>
      <c r="D24" s="51" t="n">
        <v>2018618</v>
      </c>
      <c r="E24" s="51" t="n">
        <v>3390265</v>
      </c>
    </row>
    <row r="26" customFormat="false" ht="15" hidden="false" customHeight="false" outlineLevel="0" collapsed="false">
      <c r="A26" s="24" t="s">
        <v>213</v>
      </c>
      <c r="B26" s="25"/>
      <c r="C26" s="25"/>
      <c r="D26" s="25"/>
      <c r="E26" s="25"/>
    </row>
    <row r="27" customFormat="false" ht="15" hidden="false" customHeight="false" outlineLevel="0" collapsed="false">
      <c r="A27" s="52" t="s">
        <v>165</v>
      </c>
      <c r="B27" s="53" t="n">
        <v>0.530883062467446</v>
      </c>
      <c r="C27" s="53" t="n">
        <v>0.606954057001771</v>
      </c>
      <c r="D27" s="53" t="n">
        <v>0.666570100584199</v>
      </c>
      <c r="E27" s="53" t="n">
        <v>0.628105479650194</v>
      </c>
    </row>
    <row r="28" customFormat="false" ht="15" hidden="false" customHeight="false" outlineLevel="0" collapsed="false">
      <c r="A28" s="21" t="s">
        <v>190</v>
      </c>
      <c r="B28" s="54" t="n">
        <v>0.550251883786988</v>
      </c>
      <c r="C28" s="54" t="n">
        <v>0.616325188881584</v>
      </c>
      <c r="D28" s="54" t="n">
        <v>0.644960814621906</v>
      </c>
      <c r="E28" s="54" t="n">
        <v>0.618681390622257</v>
      </c>
    </row>
    <row r="29" customFormat="false" ht="15" hidden="false" customHeight="false" outlineLevel="0" collapsed="false">
      <c r="A29" s="55" t="s">
        <v>214</v>
      </c>
      <c r="B29" s="56" t="n">
        <v>746235.333333333</v>
      </c>
      <c r="C29" s="56" t="n">
        <v>738591</v>
      </c>
      <c r="D29" s="56" t="n">
        <v>589702.666666667</v>
      </c>
      <c r="E29" s="56" t="n">
        <v>2074529</v>
      </c>
    </row>
    <row r="30" customFormat="false" ht="15" hidden="false" customHeight="false" outlineLevel="0" collapsed="false">
      <c r="A30" s="52" t="s">
        <v>197</v>
      </c>
      <c r="B30" s="53" t="n">
        <v>0.477509322146331</v>
      </c>
      <c r="C30" s="53" t="n">
        <v>0.220879695657206</v>
      </c>
      <c r="D30" s="53" t="n">
        <v>0.101869904008592</v>
      </c>
      <c r="E30" s="53" t="n">
        <v>0.193964438386601</v>
      </c>
    </row>
    <row r="32" customFormat="false" ht="15" hidden="false" customHeight="false" outlineLevel="0" collapsed="false">
      <c r="A32" s="24" t="s">
        <v>215</v>
      </c>
      <c r="B32" s="25"/>
      <c r="C32" s="25"/>
      <c r="D32" s="25"/>
      <c r="E32" s="25"/>
    </row>
    <row r="33" customFormat="false" ht="15" hidden="false" customHeight="false" outlineLevel="0" collapsed="false">
      <c r="A33" s="42" t="s">
        <v>169</v>
      </c>
      <c r="B33" s="46" t="n">
        <v>410</v>
      </c>
      <c r="C33" s="46" t="n">
        <v>231</v>
      </c>
      <c r="D33" s="46" t="n">
        <v>40</v>
      </c>
      <c r="E33" s="46" t="n">
        <v>681</v>
      </c>
    </row>
    <row r="34" customFormat="false" ht="15" hidden="false" customHeight="false" outlineLevel="0" collapsed="false">
      <c r="A34" s="42" t="s">
        <v>170</v>
      </c>
      <c r="B34" s="46" t="n">
        <v>39</v>
      </c>
      <c r="C34" s="46" t="n">
        <v>5</v>
      </c>
      <c r="D34" s="46" t="n">
        <v>4</v>
      </c>
      <c r="E34" s="46" t="n">
        <v>48</v>
      </c>
    </row>
    <row r="35" customFormat="false" ht="15" hidden="false" customHeight="false" outlineLevel="0" collapsed="false">
      <c r="A35" s="42" t="s">
        <v>171</v>
      </c>
      <c r="B35" s="46" t="n">
        <v>54</v>
      </c>
      <c r="C35" s="46" t="n">
        <v>12</v>
      </c>
      <c r="D35" s="46" t="n">
        <v>0</v>
      </c>
      <c r="E35" s="46" t="n">
        <v>66</v>
      </c>
    </row>
    <row r="36" customFormat="false" ht="15" hidden="false" customHeight="false" outlineLevel="0" collapsed="false">
      <c r="A36" s="42" t="s">
        <v>172</v>
      </c>
      <c r="B36" s="46" t="n">
        <v>11</v>
      </c>
      <c r="C36" s="46" t="n">
        <v>8</v>
      </c>
      <c r="D36" s="46" t="n">
        <v>0</v>
      </c>
      <c r="E36" s="46" t="n">
        <v>19</v>
      </c>
    </row>
    <row r="37" customFormat="false" ht="15" hidden="false" customHeight="false" outlineLevel="0" collapsed="false">
      <c r="A37" s="42" t="s">
        <v>173</v>
      </c>
      <c r="B37" s="46" t="n">
        <v>9</v>
      </c>
      <c r="C37" s="46" t="n">
        <v>0</v>
      </c>
      <c r="D37" s="46" t="n">
        <v>0</v>
      </c>
      <c r="E37" s="46" t="n">
        <v>9</v>
      </c>
    </row>
    <row r="38" customFormat="false" ht="15" hidden="false" customHeight="false" outlineLevel="0" collapsed="false">
      <c r="A38" s="42" t="s">
        <v>174</v>
      </c>
      <c r="B38" s="46" t="n">
        <v>22</v>
      </c>
      <c r="C38" s="46" t="n">
        <v>1</v>
      </c>
      <c r="D38" s="46" t="n">
        <v>0</v>
      </c>
      <c r="E38" s="46" t="n">
        <v>23</v>
      </c>
    </row>
    <row r="39" customFormat="false" ht="15" hidden="false" customHeight="false" outlineLevel="0" collapsed="false">
      <c r="A39" s="42" t="s">
        <v>175</v>
      </c>
      <c r="B39" s="46" t="n">
        <v>13</v>
      </c>
      <c r="C39" s="46" t="n">
        <v>2</v>
      </c>
      <c r="D39" s="46" t="n">
        <v>0</v>
      </c>
      <c r="E39" s="46" t="n">
        <v>15</v>
      </c>
    </row>
    <row r="40" customFormat="false" ht="15" hidden="false" customHeight="false" outlineLevel="0" collapsed="false">
      <c r="A40" s="44" t="s">
        <v>216</v>
      </c>
      <c r="B40" s="49" t="n">
        <v>558</v>
      </c>
      <c r="C40" s="49" t="n">
        <v>259</v>
      </c>
      <c r="D40" s="49" t="n">
        <v>44</v>
      </c>
      <c r="E40" s="49" t="n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2026-02-13T11:28:54Z</dcterms:created>
  <dc:creator>openpyxl</dc:creator>
  <dc:description/>
  <dc:language>en-US</dc:language>
  <cp:lastModifiedBy/>
  <dcterms:modified xsi:type="dcterms:W3CDTF">2026-02-13T11:28:54Z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